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lasmaillols/Downloads/"/>
    </mc:Choice>
  </mc:AlternateContent>
  <xr:revisionPtr revIDLastSave="0" documentId="13_ncr:1_{05D977FC-CCA2-F445-8433-B9477574B63D}" xr6:coauthVersionLast="47" xr6:coauthVersionMax="47" xr10:uidLastSave="{00000000-0000-0000-0000-000000000000}"/>
  <bookViews>
    <workbookView xWindow="38420" yWindow="500" windowWidth="38400" windowHeight="19880" xr2:uid="{00000000-000D-0000-FFFF-FFFF00000000}"/>
  </bookViews>
  <sheets>
    <sheet name="Besoins Humains" sheetId="1" r:id="rId1"/>
    <sheet name="Répartitions Missions IDC" sheetId="2" r:id="rId2"/>
  </sheets>
  <definedNames>
    <definedName name="_xlnm.Print_Titles" localSheetId="0">'Besoins Humains'!$1:$2</definedName>
    <definedName name="_xlnm.Print_Area" localSheetId="0">'Besoins Humains'!$A$1:$Z$91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88" i="1" l="1"/>
  <c r="AI88" i="1"/>
  <c r="AH88" i="1"/>
  <c r="AG88" i="1"/>
  <c r="AE88" i="1"/>
  <c r="AD88" i="1"/>
  <c r="AC88" i="1"/>
  <c r="AB88" i="1"/>
  <c r="AA88" i="1"/>
  <c r="Y88" i="1"/>
  <c r="X88" i="1"/>
  <c r="W88" i="1"/>
  <c r="V88" i="1"/>
  <c r="U88" i="1"/>
  <c r="S88" i="1"/>
  <c r="R88" i="1"/>
  <c r="Q88" i="1"/>
  <c r="O88" i="1"/>
  <c r="M88" i="1"/>
  <c r="L88" i="1"/>
  <c r="K88" i="1"/>
  <c r="J88" i="1"/>
  <c r="I88" i="1"/>
  <c r="H88" i="1"/>
  <c r="G88" i="1"/>
  <c r="C88" i="1" l="1"/>
</calcChain>
</file>

<file path=xl/sharedStrings.xml><?xml version="1.0" encoding="utf-8"?>
<sst xmlns="http://schemas.openxmlformats.org/spreadsheetml/2006/main" count="534" uniqueCount="299">
  <si>
    <t>Poste</t>
  </si>
  <si>
    <t>Diner</t>
  </si>
  <si>
    <t>Nom</t>
  </si>
  <si>
    <t>Prénom</t>
  </si>
  <si>
    <t>téléphone</t>
  </si>
  <si>
    <t>email</t>
  </si>
  <si>
    <t>talkie</t>
  </si>
  <si>
    <t>Déjeuner</t>
  </si>
  <si>
    <t>commentaires</t>
  </si>
  <si>
    <t>INFORMATIONS GÉNÉRALES</t>
  </si>
  <si>
    <t>ENTREPRISE</t>
  </si>
  <si>
    <t>IDEACOM</t>
  </si>
  <si>
    <t>PETTE</t>
  </si>
  <si>
    <t xml:space="preserve">Julie </t>
  </si>
  <si>
    <t xml:space="preserve">Marc </t>
  </si>
  <si>
    <t xml:space="preserve">Jerry </t>
  </si>
  <si>
    <t xml:space="preserve">Francesca </t>
  </si>
  <si>
    <t xml:space="preserve">Marlène </t>
  </si>
  <si>
    <t>Eléna</t>
  </si>
  <si>
    <t xml:space="preserve">Armand </t>
  </si>
  <si>
    <t>Manon</t>
  </si>
  <si>
    <t>Bruno</t>
  </si>
  <si>
    <t>Laurent</t>
  </si>
  <si>
    <t xml:space="preserve">Vianey </t>
  </si>
  <si>
    <t xml:space="preserve">Edouard </t>
  </si>
  <si>
    <t xml:space="preserve">Dominique </t>
  </si>
  <si>
    <t xml:space="preserve">Stéphane </t>
  </si>
  <si>
    <t xml:space="preserve">Vincent </t>
  </si>
  <si>
    <t xml:space="preserve">Laurent </t>
  </si>
  <si>
    <t xml:space="preserve">Benjamin </t>
  </si>
  <si>
    <t xml:space="preserve">Céline </t>
  </si>
  <si>
    <t xml:space="preserve">Georges </t>
  </si>
  <si>
    <t>David</t>
  </si>
  <si>
    <t>Aurélien</t>
  </si>
  <si>
    <t>Sylvain</t>
  </si>
  <si>
    <t xml:space="preserve">Directeur Associé </t>
  </si>
  <si>
    <t>Scénographe</t>
  </si>
  <si>
    <t>Chargée de production</t>
  </si>
  <si>
    <t>Directeur Général</t>
  </si>
  <si>
    <t>Directeur Technique Plénière</t>
  </si>
  <si>
    <t>Directeur technique général</t>
  </si>
  <si>
    <t>Préventeur</t>
  </si>
  <si>
    <t xml:space="preserve">Regisseur General Nuit </t>
  </si>
  <si>
    <t>Regisseur General Jour</t>
  </si>
  <si>
    <t>Regisseur Plenière nuit</t>
  </si>
  <si>
    <t xml:space="preserve">Regisseur Plenière Jour </t>
  </si>
  <si>
    <t xml:space="preserve">Regisseur Expo Jour </t>
  </si>
  <si>
    <t xml:space="preserve">Regisseur Expo Nuit </t>
  </si>
  <si>
    <t xml:space="preserve">Regisseur livraisons/reprises nuit </t>
  </si>
  <si>
    <t>Regisseur livraisons/reprises jour</t>
  </si>
  <si>
    <t>Référent Atelier Inspiration</t>
  </si>
  <si>
    <t>Référent Atelier Solution</t>
  </si>
  <si>
    <t>Référent Atelier Projection (Agora)</t>
  </si>
  <si>
    <t>Permanence Medicale / ACESO</t>
  </si>
  <si>
    <t>Association secouriste / FFSS</t>
  </si>
  <si>
    <t>Chef de poste - Association secouriste / FFSS</t>
  </si>
  <si>
    <t>MVISION</t>
  </si>
  <si>
    <t>Coordination BFM TV</t>
  </si>
  <si>
    <t>Coordination GPE</t>
  </si>
  <si>
    <t>Coordination Médiane</t>
  </si>
  <si>
    <t>Coordination Mathez (traiteur, accueil)</t>
  </si>
  <si>
    <t>BFM</t>
  </si>
  <si>
    <t>GPE</t>
  </si>
  <si>
    <t>MÉDIANE</t>
  </si>
  <si>
    <t>MATHEZ</t>
  </si>
  <si>
    <t>GL</t>
  </si>
  <si>
    <t>Coordination ménage, agents de sécu)</t>
  </si>
  <si>
    <t>NOM</t>
  </si>
  <si>
    <t>NOM ?</t>
  </si>
  <si>
    <t>BERARDIER</t>
  </si>
  <si>
    <t>BOURDIER</t>
  </si>
  <si>
    <t>HANDGRAAF</t>
  </si>
  <si>
    <t>LAGIOIA</t>
  </si>
  <si>
    <t>LHERM-POUZENC</t>
  </si>
  <si>
    <t>MAILLOLS</t>
  </si>
  <si>
    <t>WASSERVOGEL</t>
  </si>
  <si>
    <t>MADEC</t>
  </si>
  <si>
    <t>OBACH</t>
  </si>
  <si>
    <t>DUGAST</t>
  </si>
  <si>
    <t>LARGERIE</t>
  </si>
  <si>
    <t>ESCOFIER</t>
  </si>
  <si>
    <t>AMIOUR</t>
  </si>
  <si>
    <t>LOZOUET</t>
  </si>
  <si>
    <t>BARRE</t>
  </si>
  <si>
    <t>LEMOINE</t>
  </si>
  <si>
    <t>CASAGRANDE</t>
  </si>
  <si>
    <t>KANDEL</t>
  </si>
  <si>
    <t>DR. GAUFFRE</t>
  </si>
  <si>
    <t>Maquilleuse BFM</t>
  </si>
  <si>
    <t>Maquilleuse  BFM</t>
  </si>
  <si>
    <t>Maquilleuse Présidentielle</t>
  </si>
  <si>
    <t>LACAM</t>
  </si>
  <si>
    <t>Charline</t>
  </si>
  <si>
    <t xml:space="preserve">Référent - Maquilleuse Présidentielle </t>
  </si>
  <si>
    <t>Nom?</t>
  </si>
  <si>
    <t>ACESO</t>
  </si>
  <si>
    <t>PROTECTION CIVILE</t>
  </si>
  <si>
    <t>06 03 83 13 69</t>
  </si>
  <si>
    <t>E-LOC</t>
  </si>
  <si>
    <t>Installation informatique BM</t>
  </si>
  <si>
    <t>Permanence informatique BM</t>
  </si>
  <si>
    <t>mwasservogel@ideacom.com</t>
  </si>
  <si>
    <t>MAI TRAN</t>
  </si>
  <si>
    <t>TRAN</t>
  </si>
  <si>
    <t>Mai</t>
  </si>
  <si>
    <t>Référente journalistes Ateliers - Forum</t>
  </si>
  <si>
    <t>jberardier@ideacom.com</t>
  </si>
  <si>
    <t>mbourdier@ideacom.com</t>
  </si>
  <si>
    <t>jhandgraaf@ideacom.com</t>
  </si>
  <si>
    <t>info@a-loc.com</t>
  </si>
  <si>
    <t>apette@ideacom.com</t>
  </si>
  <si>
    <t>oneway.technique@gmail.com</t>
  </si>
  <si>
    <t>flagioia@ideacom.com</t>
  </si>
  <si>
    <t>mlp@ideacom.com</t>
  </si>
  <si>
    <t>emaillols@ideacom.com</t>
  </si>
  <si>
    <t>vianneydugast@orange.fr</t>
  </si>
  <si>
    <t>rfoisneau@dragonflycom.fr</t>
  </si>
  <si>
    <t>FOISNEAU</t>
  </si>
  <si>
    <t>Raphaëlle</t>
  </si>
  <si>
    <t>strategicconsulting@maitranandco.com</t>
  </si>
  <si>
    <t>FREEMAN</t>
  </si>
  <si>
    <t>Sandra</t>
  </si>
  <si>
    <t>CROISÉ</t>
  </si>
  <si>
    <t>Nathalie</t>
  </si>
  <si>
    <t>JOURNALISTES</t>
  </si>
  <si>
    <t>MAQUILLEUSES</t>
  </si>
  <si>
    <t>Gestion maquillage presidentielle</t>
  </si>
  <si>
    <t>Encadrement hôtesses plénière</t>
  </si>
  <si>
    <t>Encadrement hôtesses ateliers</t>
  </si>
  <si>
    <t xml:space="preserve">Gestion rooming-list </t>
  </si>
  <si>
    <t>Gestion maquillage intervention BFM</t>
  </si>
  <si>
    <t>Gestion maquillage intervention BFM : exploitation</t>
  </si>
  <si>
    <t>Gestion maquillage presidentielle : exploitation</t>
  </si>
  <si>
    <t>Gestion accueil et acheminement des intervenants BFM : exploitation</t>
  </si>
  <si>
    <t xml:space="preserve">MONTAGE : MARDI 22 FEVRIER 2022 </t>
  </si>
  <si>
    <t xml:space="preserve">EXPLOITATION : JEUDI 24 FEVRIER 2022 </t>
  </si>
  <si>
    <t xml:space="preserve">Gestion, distribution et reprise des talkies : </t>
  </si>
  <si>
    <t xml:space="preserve">MONTAGE/ FILAGE : MERCREDI 23 FEVRIER 2022 </t>
  </si>
  <si>
    <t>Orientation des prestataires sur site</t>
  </si>
  <si>
    <t xml:space="preserve">Regie technique Plenière Nuit </t>
  </si>
  <si>
    <t xml:space="preserve">Regie technique Forum Nuit </t>
  </si>
  <si>
    <t xml:space="preserve">Regie technique Generale Nuit </t>
  </si>
  <si>
    <t>Regie technique Generale Jour</t>
  </si>
  <si>
    <t>Regie technique Plenière Jour</t>
  </si>
  <si>
    <t>Regie technique Forum Jour</t>
  </si>
  <si>
    <t>Regie technique livraisons/reprises Jour</t>
  </si>
  <si>
    <t>Regie technique livraisons/reprises Nuit</t>
  </si>
  <si>
    <t>Edouard</t>
  </si>
  <si>
    <t>Assistance installation mobilier plénière</t>
  </si>
  <si>
    <t>Supervision installation mobilier scénique et salle plénière</t>
  </si>
  <si>
    <t>Etat des lieux</t>
  </si>
  <si>
    <t>00h00</t>
  </si>
  <si>
    <t>19h00</t>
  </si>
  <si>
    <t xml:space="preserve">MONTAGE : LUNDI 21 FEVRIER 2022  </t>
  </si>
  <si>
    <t>Action</t>
  </si>
  <si>
    <t>Gestion des talkies</t>
  </si>
  <si>
    <t xml:space="preserve">Gestion  des kit Covid </t>
  </si>
  <si>
    <t xml:space="preserve">Gestion des badges GPE </t>
  </si>
  <si>
    <t>Distribution des masques aux responsables d'équipes. En 1 fois ou chaque jour ?</t>
  </si>
  <si>
    <t>Gestion des bracelets IDC</t>
  </si>
  <si>
    <t xml:space="preserve">Gestion du parking </t>
  </si>
  <si>
    <t xml:space="preserve">Gestion  T-Shirt IDC </t>
  </si>
  <si>
    <t>Distribution T-Shirt IDC aux responsables d'équipes</t>
  </si>
  <si>
    <t xml:space="preserve">Gestion  catering </t>
  </si>
  <si>
    <t xml:space="preserve"> Encadrement stationnement VIP. Point contact avec Mathez.</t>
  </si>
  <si>
    <t xml:space="preserve">Mise en place table régie dans l'espace exposition. 
Distribution des contremarques catering </t>
  </si>
  <si>
    <t>Distribution et reprise des talkies. Signature approuvée sur doc.</t>
  </si>
  <si>
    <t xml:space="preserve">Prévention sanitaire, risques et sécurité </t>
  </si>
  <si>
    <t xml:space="preserve">Accompagnement des prestataires dans la zone concernée  du site </t>
  </si>
  <si>
    <t>Distribution des bracelets IDC aux responsables d'équipes. Définir la répartitions et couleurs ?</t>
  </si>
  <si>
    <t>Faire le tour du site avec le responsable et montrer les espaces à sécuriser</t>
  </si>
  <si>
    <t xml:space="preserve">Vérification technique de tous les supports à diffuser : vidéos, jingles, slides, synthé </t>
  </si>
  <si>
    <t>Assistance installation des chaises + tétières</t>
  </si>
  <si>
    <t>BFM : 22 postes de travail + 3 imprimantes (mise à jour à venir)
Bureau de prod IDC : 1 poste de travail + 1 imprimante A3</t>
  </si>
  <si>
    <t xml:space="preserve">Aménagement bureaux de production IDC, FNTP et BFM </t>
  </si>
  <si>
    <t xml:space="preserve">Mise en place des tables suivant le plan/ Poser la signalétique sur les portes/ mettre à disposition des bouteilles d'eau / installer la bureautique dans bureau de prod IDC (valises prod) </t>
  </si>
  <si>
    <t xml:space="preserve">Supervision ménage </t>
  </si>
  <si>
    <t>Rappel et suivi les zones d'interventions avec le responsable ménage GL</t>
  </si>
  <si>
    <t>Suivi des zones d'interventions avec le responsable ménage GL</t>
  </si>
  <si>
    <t>Installation des supports de diffusion plénière (fin)</t>
  </si>
  <si>
    <t>bouteilles d'eau, micro</t>
  </si>
  <si>
    <t>Aménagement loges plénière  et BFM</t>
  </si>
  <si>
    <t>Aménagement tables maquilleuses + lampes sur pieds suivant le plan. Poser signalétique sur les portes (quoi ?)</t>
  </si>
  <si>
    <t>Faire un repérage du site avec la securité des intervenants ateliers</t>
  </si>
  <si>
    <t xml:space="preserve">Gestion  des kits Covid </t>
  </si>
  <si>
    <t xml:space="preserve">Gestion des accés livraison / </t>
  </si>
  <si>
    <t>recuperer les differentes livraisons sur site planière et expo</t>
  </si>
  <si>
    <t>Repérage du site - Sécurité  intervenants ateliers</t>
  </si>
  <si>
    <t xml:space="preserve">DÉMONTAGE : VENDREDI 25 FEVRIER 2022 </t>
  </si>
  <si>
    <t>Début</t>
  </si>
  <si>
    <t>Fin</t>
  </si>
  <si>
    <t>Mission</t>
  </si>
  <si>
    <t xml:space="preserve">Supervision de l'Installation informatique </t>
  </si>
  <si>
    <t>Distribution des badges GPE aux responsables d'équipes pour la période de montage exploitation démontage ?</t>
  </si>
  <si>
    <t>Distribution des bracelets IDC aux responsables d'équipes. 
Définir la répartitions et couleurs ?</t>
  </si>
  <si>
    <t>Reservation des chambres en amont. Point contact sur toute la durée du montage, de l'exploitation et du démontage</t>
  </si>
  <si>
    <t xml:space="preserve">Accueil et vérification des entreprises prestataires </t>
  </si>
  <si>
    <t>Accompagnement et Prise en charge des intervenants</t>
  </si>
  <si>
    <t>Accueil café / mise à dispo déroulé éditorial et conducteur technique</t>
  </si>
  <si>
    <t>Suivi du bon déroulé technique</t>
  </si>
  <si>
    <t>GÉNÉRAL</t>
  </si>
  <si>
    <t>PLÉNIÈRE</t>
  </si>
  <si>
    <t>Faire un repérage du site avec les securités des candidats à la présidentielle</t>
  </si>
  <si>
    <t>Repérage du site - Sécurité  candidats à la présidentielle</t>
  </si>
  <si>
    <t>BUREAUX / LOGES</t>
  </si>
  <si>
    <t xml:space="preserve">Accompagnement des prestataires dans les zones concernées  du site </t>
  </si>
  <si>
    <t>Suivi installation plateau ..?</t>
  </si>
  <si>
    <t xml:space="preserve">Supervision scénographique du plateau </t>
  </si>
  <si>
    <t>repérage du site avec GPE</t>
  </si>
  <si>
    <t>ATELIERS</t>
  </si>
  <si>
    <t xml:space="preserve">Supervision générale en régie </t>
  </si>
  <si>
    <t>Installation des supports de diffusion  (début)</t>
  </si>
  <si>
    <t xml:space="preserve">Supervision scénographique </t>
  </si>
  <si>
    <t>Suivi du montage des décors salle + scène</t>
  </si>
  <si>
    <t>Installation des supports de diffusion  (fin)</t>
  </si>
  <si>
    <t>Briefing hôtesses plénière</t>
  </si>
  <si>
    <t>Brief SIAP (plénière+ ateliers)</t>
  </si>
  <si>
    <t>Supervision ménage (plénière+ ateliers)</t>
  </si>
  <si>
    <t>Briefing hôtesses ateliers</t>
  </si>
  <si>
    <t>Suivi et encadrement de l'installation des chaises /desk/ pupitre/ tabourets hauts . Mise en place tétière</t>
  </si>
  <si>
    <t>FILAGE PLÉNIÈRE</t>
  </si>
  <si>
    <t>Gestion du parking VIP intervenants  ?</t>
  </si>
  <si>
    <t xml:space="preserve">Mise en place accueil intervenants </t>
  </si>
  <si>
    <t xml:space="preserve">Supervision déroulé éditorial </t>
  </si>
  <si>
    <t>Diffusion des supports</t>
  </si>
  <si>
    <t>Topage</t>
  </si>
  <si>
    <t xml:space="preserve">Supervision Régie plateau </t>
  </si>
  <si>
    <t xml:space="preserve">Permanence informatique bureau de prod </t>
  </si>
  <si>
    <t>Suivi mise en place mobilier salle + régie</t>
  </si>
  <si>
    <t>INSPIRATION - Supervision générale régie + salle</t>
  </si>
  <si>
    <t xml:space="preserve">INSPIRATION - Installation des supports de diffusion  </t>
  </si>
  <si>
    <t>SOLUTIONS - Supervision générale régie + salle</t>
  </si>
  <si>
    <t>PROJECTION - Supervision générale régie + salle</t>
  </si>
  <si>
    <t xml:space="preserve">SOLUTIONS -  Installation des supports de diffusion  </t>
  </si>
  <si>
    <t xml:space="preserve">PROJECTION -  Installation des supports de diffusion  </t>
  </si>
  <si>
    <t>Vérification technique de tous les supports à diffuser : vidéos, jingles, slides</t>
  </si>
  <si>
    <t>Mise à dispo pour l'équipe plateau</t>
  </si>
  <si>
    <t>Installation plateau plénière</t>
  </si>
  <si>
    <t>FILAGE ATELIERS</t>
  </si>
  <si>
    <t>Mise en place accueil intervenants / journalistes</t>
  </si>
  <si>
    <t>Inspiration</t>
  </si>
  <si>
    <t>Solutions</t>
  </si>
  <si>
    <t>Projection</t>
  </si>
  <si>
    <t xml:space="preserve"> Encadrement stationnement VIP. Point contact avec Mathez ?</t>
  </si>
  <si>
    <t>répétition Artiste</t>
  </si>
  <si>
    <t>Vérification technique de tous les supports  : vidéos, jingles, slides, animations</t>
  </si>
  <si>
    <t xml:space="preserve">SOLUTIONS -  Installation des animations, des supports de diffusion  </t>
  </si>
  <si>
    <t xml:space="preserve">PROJECTION -   Installation des animations,  des supports de diffusion  </t>
  </si>
  <si>
    <t xml:space="preserve">INSPIRATION -  Installation des animations, des supports de diffusion  </t>
  </si>
  <si>
    <t>planning maquillage/ intervenants  BFM</t>
  </si>
  <si>
    <t>planning maquillage/  intervenants plénière</t>
  </si>
  <si>
    <t xml:space="preserve">
Gilet</t>
  </si>
  <si>
    <t>Direction projet / Production Forum</t>
  </si>
  <si>
    <t>Graphiste plénière</t>
  </si>
  <si>
    <t>Référente Plateau BFM</t>
  </si>
  <si>
    <t>Directrice de production Plénière</t>
  </si>
  <si>
    <r>
      <t xml:space="preserve">Bracelet
</t>
    </r>
    <r>
      <rPr>
        <sz val="12"/>
        <color theme="1"/>
        <rFont val="Calibri"/>
        <family val="2"/>
        <scheme val="minor"/>
      </rPr>
      <t>Montage</t>
    </r>
  </si>
  <si>
    <r>
      <t xml:space="preserve">Bracelet
</t>
    </r>
    <r>
      <rPr>
        <sz val="12"/>
        <color theme="1"/>
        <rFont val="Calibri"/>
        <family val="2"/>
        <scheme val="minor"/>
      </rPr>
      <t xml:space="preserve">Démontage/ </t>
    </r>
  </si>
  <si>
    <t>Boissons Nuit</t>
  </si>
  <si>
    <t>Boissons journée</t>
  </si>
  <si>
    <r>
      <t xml:space="preserve">Bracelet
</t>
    </r>
    <r>
      <rPr>
        <sz val="12"/>
        <color theme="1"/>
        <rFont val="Calibri"/>
        <family val="2"/>
        <scheme val="minor"/>
      </rPr>
      <t>Exploitation</t>
    </r>
  </si>
  <si>
    <r>
      <t xml:space="preserve">Bracelet
</t>
    </r>
    <r>
      <rPr>
        <sz val="12"/>
        <color theme="1"/>
        <rFont val="Calibri"/>
        <family val="2"/>
        <scheme val="minor"/>
      </rPr>
      <t>Montage</t>
    </r>
    <r>
      <rPr>
        <b/>
        <sz val="12"/>
        <color theme="1"/>
        <rFont val="Calibri"/>
        <family val="2"/>
        <scheme val="minor"/>
      </rPr>
      <t xml:space="preserve"> Exposant</t>
    </r>
  </si>
  <si>
    <t>Nichols</t>
  </si>
  <si>
    <t>Guedj</t>
  </si>
  <si>
    <t>Hedger</t>
  </si>
  <si>
    <t>Bob</t>
  </si>
  <si>
    <t>BARRET</t>
  </si>
  <si>
    <t>Mobilier</t>
  </si>
  <si>
    <t>Alive Phipaline</t>
  </si>
  <si>
    <t>Topeuse plénière</t>
  </si>
  <si>
    <t>Prompteur</t>
  </si>
  <si>
    <t>FL Structure</t>
  </si>
  <si>
    <t>Dron</t>
  </si>
  <si>
    <t>Décor &amp; Compagnie</t>
  </si>
  <si>
    <t>Déco</t>
  </si>
  <si>
    <t>Chariot</t>
  </si>
  <si>
    <t>Hervé Pierre</t>
  </si>
  <si>
    <t>ICE</t>
  </si>
  <si>
    <t>Aloc</t>
  </si>
  <si>
    <t>Informatique</t>
  </si>
  <si>
    <t>Allomat</t>
  </si>
  <si>
    <t>Boite noire</t>
  </si>
  <si>
    <t>Rideau</t>
  </si>
  <si>
    <t>Electricité</t>
  </si>
  <si>
    <t>Rot</t>
  </si>
  <si>
    <t>Extrincteur</t>
  </si>
  <si>
    <t>Structure</t>
  </si>
  <si>
    <t>VIP sécurité</t>
  </si>
  <si>
    <t>Sécurité</t>
  </si>
  <si>
    <t>Lutèce</t>
  </si>
  <si>
    <t>Ventousage</t>
  </si>
  <si>
    <t>Bewi</t>
  </si>
  <si>
    <t>Dessinateur</t>
  </si>
  <si>
    <t>Interactivité</t>
  </si>
  <si>
    <t>30 lunch box</t>
  </si>
  <si>
    <t xml:space="preserve">Jonathan </t>
  </si>
  <si>
    <t>Julien</t>
  </si>
  <si>
    <t>Vincent</t>
  </si>
  <si>
    <t>Etienne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</si>
</sst>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5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MT"/>
    </font>
    <font>
      <i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7" fillId="0" borderId="0"/>
  </cellStyleXfs>
  <cellXfs count="17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0" borderId="13" xfId="2" applyBorder="1" applyAlignment="1">
      <alignment horizontal="left" vertical="center"/>
    </xf>
    <xf numFmtId="0" fontId="7" fillId="2" borderId="13" xfId="2" applyFill="1" applyBorder="1" applyAlignment="1">
      <alignment horizontal="left" vertical="center"/>
    </xf>
    <xf numFmtId="0" fontId="0" fillId="0" borderId="11" xfId="0" applyBorder="1"/>
    <xf numFmtId="0" fontId="7" fillId="2" borderId="11" xfId="2" applyFill="1" applyBorder="1" applyAlignment="1">
      <alignment horizontal="left" vertical="center"/>
    </xf>
    <xf numFmtId="0" fontId="7" fillId="4" borderId="11" xfId="2" applyFill="1" applyBorder="1" applyAlignment="1">
      <alignment horizontal="left" vertical="center"/>
    </xf>
    <xf numFmtId="0" fontId="0" fillId="0" borderId="7" xfId="0" applyBorder="1"/>
    <xf numFmtId="0" fontId="0" fillId="0" borderId="1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2" xfId="0" applyBorder="1" applyAlignment="1">
      <alignment vertical="center" wrapText="1"/>
    </xf>
    <xf numFmtId="0" fontId="7" fillId="4" borderId="13" xfId="2" applyFill="1" applyBorder="1" applyAlignment="1">
      <alignment horizontal="left" vertical="center"/>
    </xf>
    <xf numFmtId="0" fontId="2" fillId="0" borderId="24" xfId="0" applyFont="1" applyBorder="1" applyAlignment="1">
      <alignment horizontal="center" vertical="center" wrapText="1"/>
    </xf>
    <xf numFmtId="0" fontId="7" fillId="0" borderId="15" xfId="2" applyBorder="1" applyAlignment="1">
      <alignment horizontal="center" vertical="center"/>
    </xf>
    <xf numFmtId="0" fontId="7" fillId="0" borderId="12" xfId="2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0" fillId="11" borderId="12" xfId="0" applyFill="1" applyBorder="1" applyAlignment="1">
      <alignment vertical="center"/>
    </xf>
    <xf numFmtId="0" fontId="5" fillId="11" borderId="11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left" vertical="center"/>
    </xf>
    <xf numFmtId="0" fontId="0" fillId="4" borderId="11" xfId="0" applyFill="1" applyBorder="1"/>
    <xf numFmtId="0" fontId="0" fillId="0" borderId="15" xfId="0" applyBorder="1"/>
    <xf numFmtId="0" fontId="5" fillId="4" borderId="13" xfId="0" applyFont="1" applyFill="1" applyBorder="1" applyAlignment="1">
      <alignment horizontal="left" vertical="center"/>
    </xf>
    <xf numFmtId="0" fontId="0" fillId="4" borderId="13" xfId="0" applyFill="1" applyBorder="1" applyAlignment="1">
      <alignment horizontal="left"/>
    </xf>
    <xf numFmtId="0" fontId="5" fillId="11" borderId="1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8" borderId="22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7" fillId="10" borderId="12" xfId="2" applyFill="1" applyBorder="1" applyAlignment="1">
      <alignment horizontal="center" vertical="center"/>
    </xf>
    <xf numFmtId="0" fontId="2" fillId="8" borderId="24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0" fillId="0" borderId="9" xfId="0" applyBorder="1"/>
    <xf numFmtId="0" fontId="2" fillId="6" borderId="20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11" xfId="2" applyBorder="1" applyAlignment="1">
      <alignment horizontal="left" vertical="center"/>
    </xf>
    <xf numFmtId="0" fontId="0" fillId="0" borderId="16" xfId="0" applyBorder="1" applyAlignment="1">
      <alignment horizontal="center" vertical="center" wrapText="1"/>
    </xf>
    <xf numFmtId="0" fontId="5" fillId="9" borderId="11" xfId="0" applyFont="1" applyFill="1" applyBorder="1" applyAlignment="1">
      <alignment horizontal="left" vertical="center"/>
    </xf>
    <xf numFmtId="0" fontId="0" fillId="9" borderId="13" xfId="0" applyFill="1" applyBorder="1" applyAlignment="1">
      <alignment horizontal="left"/>
    </xf>
    <xf numFmtId="0" fontId="7" fillId="9" borderId="12" xfId="2" applyFill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 wrapText="1"/>
    </xf>
    <xf numFmtId="0" fontId="7" fillId="13" borderId="12" xfId="2" applyFill="1" applyBorder="1" applyAlignment="1">
      <alignment horizontal="center" vertical="center"/>
    </xf>
    <xf numFmtId="0" fontId="5" fillId="13" borderId="12" xfId="0" applyFont="1" applyFill="1" applyBorder="1" applyAlignment="1">
      <alignment horizontal="center" vertical="center"/>
    </xf>
    <xf numFmtId="0" fontId="7" fillId="13" borderId="15" xfId="2" applyFill="1" applyBorder="1" applyAlignment="1">
      <alignment horizontal="center" vertical="center"/>
    </xf>
    <xf numFmtId="0" fontId="5" fillId="13" borderId="15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3" fillId="0" borderId="26" xfId="1" applyBorder="1" applyAlignment="1">
      <alignment horizontal="center"/>
    </xf>
    <xf numFmtId="0" fontId="3" fillId="0" borderId="26" xfId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0" xfId="0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5" fillId="0" borderId="0" xfId="2" applyFont="1" applyAlignment="1">
      <alignment horizontal="left" vertical="top"/>
    </xf>
    <xf numFmtId="0" fontId="0" fillId="15" borderId="0" xfId="0" applyFill="1" applyAlignment="1">
      <alignment vertical="top"/>
    </xf>
    <xf numFmtId="0" fontId="5" fillId="15" borderId="0" xfId="2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2" fillId="0" borderId="11" xfId="0" applyFont="1" applyBorder="1" applyAlignment="1">
      <alignment vertical="top"/>
    </xf>
    <xf numFmtId="0" fontId="2" fillId="0" borderId="11" xfId="0" applyFont="1" applyBorder="1" applyAlignment="1">
      <alignment horizontal="center" vertical="top"/>
    </xf>
    <xf numFmtId="0" fontId="0" fillId="0" borderId="11" xfId="0" applyBorder="1" applyAlignment="1">
      <alignment vertical="top"/>
    </xf>
    <xf numFmtId="0" fontId="11" fillId="0" borderId="11" xfId="0" applyFont="1" applyBorder="1" applyAlignment="1">
      <alignment vertical="top"/>
    </xf>
    <xf numFmtId="0" fontId="12" fillId="0" borderId="11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1" fillId="0" borderId="28" xfId="0" applyFont="1" applyBorder="1" applyAlignment="1">
      <alignment vertical="top"/>
    </xf>
    <xf numFmtId="0" fontId="12" fillId="0" borderId="28" xfId="0" applyFont="1" applyBorder="1" applyAlignment="1">
      <alignment vertical="top"/>
    </xf>
    <xf numFmtId="0" fontId="13" fillId="0" borderId="28" xfId="0" applyFont="1" applyBorder="1" applyAlignment="1">
      <alignment vertical="top"/>
    </xf>
    <xf numFmtId="0" fontId="5" fillId="0" borderId="11" xfId="2" applyFont="1" applyBorder="1" applyAlignment="1">
      <alignment horizontal="left" vertical="top"/>
    </xf>
    <xf numFmtId="0" fontId="8" fillId="0" borderId="11" xfId="0" applyFont="1" applyBorder="1" applyAlignment="1">
      <alignment vertical="top"/>
    </xf>
    <xf numFmtId="0" fontId="0" fillId="0" borderId="11" xfId="0" applyBorder="1" applyAlignment="1">
      <alignment vertical="top" wrapText="1"/>
    </xf>
    <xf numFmtId="0" fontId="8" fillId="12" borderId="11" xfId="0" applyFont="1" applyFill="1" applyBorder="1" applyAlignment="1">
      <alignment vertical="top"/>
    </xf>
    <xf numFmtId="0" fontId="7" fillId="2" borderId="11" xfId="2" applyFill="1" applyBorder="1" applyAlignment="1">
      <alignment horizontal="left" vertical="top"/>
    </xf>
    <xf numFmtId="0" fontId="0" fillId="4" borderId="11" xfId="0" applyFill="1" applyBorder="1" applyAlignment="1">
      <alignment vertical="top"/>
    </xf>
    <xf numFmtId="0" fontId="8" fillId="15" borderId="0" xfId="0" applyFont="1" applyFill="1" applyAlignment="1">
      <alignment vertical="top"/>
    </xf>
    <xf numFmtId="0" fontId="0" fillId="15" borderId="0" xfId="0" applyFill="1" applyAlignment="1">
      <alignment vertical="top" wrapText="1"/>
    </xf>
    <xf numFmtId="0" fontId="2" fillId="16" borderId="20" xfId="0" applyFont="1" applyFill="1" applyBorder="1" applyAlignment="1">
      <alignment vertical="top"/>
    </xf>
    <xf numFmtId="0" fontId="2" fillId="16" borderId="19" xfId="0" applyFont="1" applyFill="1" applyBorder="1" applyAlignment="1">
      <alignment vertical="top"/>
    </xf>
    <xf numFmtId="0" fontId="2" fillId="16" borderId="19" xfId="0" applyFont="1" applyFill="1" applyBorder="1" applyAlignment="1">
      <alignment horizontal="center" vertical="top"/>
    </xf>
    <xf numFmtId="0" fontId="2" fillId="16" borderId="21" xfId="0" applyFont="1" applyFill="1" applyBorder="1" applyAlignment="1">
      <alignment vertical="top"/>
    </xf>
    <xf numFmtId="0" fontId="2" fillId="3" borderId="19" xfId="0" applyFont="1" applyFill="1" applyBorder="1" applyAlignment="1">
      <alignment horizontal="center" vertical="center" wrapText="1"/>
    </xf>
    <xf numFmtId="0" fontId="2" fillId="8" borderId="22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2" fillId="7" borderId="22" xfId="0" applyFont="1" applyFill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7" fillId="0" borderId="31" xfId="2" applyBorder="1" applyAlignment="1">
      <alignment horizontal="left" vertical="center"/>
    </xf>
    <xf numFmtId="0" fontId="5" fillId="0" borderId="31" xfId="2" applyFont="1" applyBorder="1" applyAlignment="1">
      <alignment horizontal="left" vertical="center"/>
    </xf>
    <xf numFmtId="0" fontId="7" fillId="2" borderId="31" xfId="2" applyFill="1" applyBorder="1" applyAlignment="1">
      <alignment horizontal="left" vertical="center"/>
    </xf>
    <xf numFmtId="0" fontId="2" fillId="0" borderId="32" xfId="0" applyFont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8" fillId="12" borderId="11" xfId="0" applyFont="1" applyFill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14" xfId="0" applyFont="1" applyFill="1" applyBorder="1" applyAlignment="1">
      <alignment horizontal="center" vertical="center"/>
    </xf>
    <xf numFmtId="0" fontId="14" fillId="10" borderId="11" xfId="0" applyFont="1" applyFill="1" applyBorder="1" applyAlignment="1">
      <alignment horizontal="center"/>
    </xf>
    <xf numFmtId="0" fontId="14" fillId="17" borderId="11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4" fillId="7" borderId="4" xfId="0" applyNumberFormat="1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164" fontId="4" fillId="7" borderId="3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4" fillId="6" borderId="4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4" fontId="4" fillId="6" borderId="3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8" borderId="2" xfId="0" applyNumberFormat="1" applyFon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164" fontId="4" fillId="5" borderId="3" xfId="0" applyNumberFormat="1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0" fontId="2" fillId="14" borderId="0" xfId="0" applyFont="1" applyFill="1" applyAlignment="1">
      <alignment horizontal="center" vertical="top"/>
    </xf>
    <xf numFmtId="0" fontId="2" fillId="5" borderId="0" xfId="0" applyFont="1" applyFill="1" applyAlignment="1">
      <alignment horizontal="center" vertical="top"/>
    </xf>
  </cellXfs>
  <cellStyles count="3">
    <cellStyle name="Lien hypertexte" xfId="1" builtinId="8"/>
    <cellStyle name="Normal" xfId="0" builtinId="0"/>
    <cellStyle name="Normal 2" xfId="2" xr:uid="{F4DB3B73-09B0-7143-9196-175F955C448A}"/>
  </cellStyles>
  <dxfs count="0"/>
  <tableStyles count="0" defaultTableStyle="TableStyleMedium2" defaultPivotStyle="PivotStyleLight16"/>
  <colors>
    <mruColors>
      <color rgb="FFE7B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neway.technique@gmail.com" TargetMode="External"/><Relationship Id="rId13" Type="http://schemas.openxmlformats.org/officeDocument/2006/relationships/hyperlink" Target="mailto:rfoisneau@dragonflycom.fr" TargetMode="External"/><Relationship Id="rId3" Type="http://schemas.openxmlformats.org/officeDocument/2006/relationships/hyperlink" Target="mailto:mbourdier@ideacom.com" TargetMode="External"/><Relationship Id="rId7" Type="http://schemas.openxmlformats.org/officeDocument/2006/relationships/hyperlink" Target="mailto:apette@ideacom.com" TargetMode="External"/><Relationship Id="rId12" Type="http://schemas.openxmlformats.org/officeDocument/2006/relationships/hyperlink" Target="mailto:vianneydugast@orange.fr" TargetMode="External"/><Relationship Id="rId2" Type="http://schemas.openxmlformats.org/officeDocument/2006/relationships/hyperlink" Target="mailto:jberardier@ideacom.com" TargetMode="External"/><Relationship Id="rId1" Type="http://schemas.openxmlformats.org/officeDocument/2006/relationships/hyperlink" Target="mailto:mwasservogel@ideacom.com" TargetMode="External"/><Relationship Id="rId6" Type="http://schemas.openxmlformats.org/officeDocument/2006/relationships/hyperlink" Target="mailto:info@a-loc.com" TargetMode="External"/><Relationship Id="rId11" Type="http://schemas.openxmlformats.org/officeDocument/2006/relationships/hyperlink" Target="mailto:emaillols@ideacom.com" TargetMode="External"/><Relationship Id="rId5" Type="http://schemas.openxmlformats.org/officeDocument/2006/relationships/hyperlink" Target="mailto:info@a-loc.com" TargetMode="External"/><Relationship Id="rId10" Type="http://schemas.openxmlformats.org/officeDocument/2006/relationships/hyperlink" Target="mailto:mlp@ideacom.com" TargetMode="External"/><Relationship Id="rId4" Type="http://schemas.openxmlformats.org/officeDocument/2006/relationships/hyperlink" Target="mailto:jhandgraaf@ideacom.com" TargetMode="External"/><Relationship Id="rId9" Type="http://schemas.openxmlformats.org/officeDocument/2006/relationships/hyperlink" Target="mailto:flagioia@ideacom.com" TargetMode="External"/><Relationship Id="rId14" Type="http://schemas.openxmlformats.org/officeDocument/2006/relationships/hyperlink" Target="mailto:strategicconsulting@maitranand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93"/>
  <sheetViews>
    <sheetView tabSelected="1" zoomScale="90" zoomScaleNormal="90" zoomScaleSheetLayoutView="90" zoomScalePageLayoutView="90" workbookViewId="0">
      <pane xSplit="3" ySplit="2" topLeftCell="D27" activePane="bottomRight" state="frozen"/>
      <selection pane="topRight" activeCell="D1" sqref="D1"/>
      <selection pane="bottomLeft" activeCell="A3" sqref="A3"/>
      <selection pane="bottomRight" activeCell="S27" sqref="S27"/>
    </sheetView>
  </sheetViews>
  <sheetFormatPr baseColWidth="10" defaultRowHeight="16"/>
  <cols>
    <col min="1" max="1" width="26" customWidth="1"/>
    <col min="2" max="2" width="21.5" customWidth="1"/>
    <col min="3" max="3" width="14.33203125" customWidth="1"/>
    <col min="4" max="4" width="56" style="3" bestFit="1" customWidth="1"/>
    <col min="5" max="5" width="18" customWidth="1"/>
    <col min="6" max="6" width="43" style="3" customWidth="1"/>
    <col min="7" max="10" width="11.5" customWidth="1"/>
    <col min="11" max="11" width="7.83203125" customWidth="1"/>
    <col min="12" max="12" width="11.5" customWidth="1"/>
    <col min="13" max="13" width="9" customWidth="1"/>
    <col min="14" max="14" width="31.1640625" customWidth="1"/>
    <col min="15" max="16" width="11.5" customWidth="1"/>
    <col min="17" max="17" width="11" customWidth="1"/>
    <col min="18" max="19" width="9" customWidth="1"/>
    <col min="20" max="20" width="31.1640625" customWidth="1"/>
    <col min="21" max="22" width="11.5" customWidth="1"/>
    <col min="23" max="23" width="13.6640625" customWidth="1"/>
    <col min="24" max="25" width="11" customWidth="1"/>
    <col min="26" max="26" width="42.33203125" customWidth="1"/>
    <col min="27" max="28" width="11.5" customWidth="1"/>
    <col min="29" max="29" width="13.6640625" customWidth="1"/>
    <col min="30" max="31" width="11" customWidth="1"/>
    <col min="32" max="32" width="42.33203125" customWidth="1"/>
    <col min="33" max="34" width="11.5" customWidth="1"/>
    <col min="35" max="35" width="13.6640625" customWidth="1"/>
    <col min="36" max="36" width="42.33203125" customWidth="1"/>
  </cols>
  <sheetData>
    <row r="1" spans="1:46" s="2" customFormat="1" ht="26" customHeight="1" thickBot="1">
      <c r="A1" s="1"/>
      <c r="B1" s="163" t="s">
        <v>9</v>
      </c>
      <c r="C1" s="164"/>
      <c r="D1" s="165"/>
      <c r="E1" s="165"/>
      <c r="F1" s="164"/>
      <c r="G1" s="165"/>
      <c r="H1" s="165"/>
      <c r="I1" s="165"/>
      <c r="J1" s="165"/>
      <c r="K1" s="165"/>
      <c r="L1" s="150">
        <v>44613</v>
      </c>
      <c r="M1" s="151"/>
      <c r="N1" s="152"/>
      <c r="O1" s="166">
        <v>44614</v>
      </c>
      <c r="P1" s="166"/>
      <c r="Q1" s="166"/>
      <c r="R1" s="166"/>
      <c r="S1" s="166"/>
      <c r="T1" s="166"/>
      <c r="U1" s="147">
        <v>44615</v>
      </c>
      <c r="V1" s="148"/>
      <c r="W1" s="148"/>
      <c r="X1" s="148"/>
      <c r="Y1" s="148"/>
      <c r="Z1" s="149"/>
      <c r="AA1" s="167">
        <v>44616</v>
      </c>
      <c r="AB1" s="168"/>
      <c r="AC1" s="168"/>
      <c r="AD1" s="168"/>
      <c r="AE1" s="168"/>
      <c r="AF1" s="169"/>
      <c r="AG1" s="153">
        <v>44617</v>
      </c>
      <c r="AH1" s="154"/>
      <c r="AI1" s="154"/>
      <c r="AJ1" s="155"/>
      <c r="AK1"/>
      <c r="AL1"/>
      <c r="AM1"/>
      <c r="AN1"/>
      <c r="AO1"/>
      <c r="AP1"/>
      <c r="AQ1"/>
      <c r="AR1"/>
      <c r="AS1"/>
      <c r="AT1"/>
    </row>
    <row r="2" spans="1:46" s="2" customFormat="1" ht="52" thickBot="1">
      <c r="A2" s="58" t="s">
        <v>10</v>
      </c>
      <c r="B2" s="133" t="s">
        <v>2</v>
      </c>
      <c r="C2" s="59" t="s">
        <v>3</v>
      </c>
      <c r="D2" s="27" t="s">
        <v>0</v>
      </c>
      <c r="E2" s="29" t="s">
        <v>4</v>
      </c>
      <c r="F2" s="83" t="s">
        <v>5</v>
      </c>
      <c r="G2" s="28" t="s">
        <v>256</v>
      </c>
      <c r="H2" s="28" t="s">
        <v>261</v>
      </c>
      <c r="I2" s="28" t="s">
        <v>260</v>
      </c>
      <c r="J2" s="28" t="s">
        <v>257</v>
      </c>
      <c r="K2" s="43" t="s">
        <v>251</v>
      </c>
      <c r="L2" s="62" t="s">
        <v>6</v>
      </c>
      <c r="M2" s="121" t="s">
        <v>258</v>
      </c>
      <c r="N2" s="31" t="s">
        <v>8</v>
      </c>
      <c r="O2" s="61" t="s">
        <v>6</v>
      </c>
      <c r="P2" s="122" t="s">
        <v>259</v>
      </c>
      <c r="Q2" s="123" t="s">
        <v>7</v>
      </c>
      <c r="R2" s="123" t="s">
        <v>1</v>
      </c>
      <c r="S2" s="123" t="s">
        <v>258</v>
      </c>
      <c r="T2" s="64" t="s">
        <v>8</v>
      </c>
      <c r="U2" s="65" t="s">
        <v>6</v>
      </c>
      <c r="V2" s="124" t="s">
        <v>259</v>
      </c>
      <c r="W2" s="125" t="s">
        <v>7</v>
      </c>
      <c r="X2" s="125" t="s">
        <v>1</v>
      </c>
      <c r="Y2" s="125" t="s">
        <v>258</v>
      </c>
      <c r="Z2" s="48" t="s">
        <v>8</v>
      </c>
      <c r="AA2" s="66" t="s">
        <v>6</v>
      </c>
      <c r="AB2" s="126" t="s">
        <v>259</v>
      </c>
      <c r="AC2" s="127" t="s">
        <v>7</v>
      </c>
      <c r="AD2" s="127" t="s">
        <v>1</v>
      </c>
      <c r="AE2" s="127" t="s">
        <v>258</v>
      </c>
      <c r="AF2" s="46" t="s">
        <v>8</v>
      </c>
      <c r="AG2" s="68" t="s">
        <v>6</v>
      </c>
      <c r="AH2" s="128" t="s">
        <v>259</v>
      </c>
      <c r="AI2" s="129" t="s">
        <v>7</v>
      </c>
      <c r="AJ2" s="47" t="s">
        <v>8</v>
      </c>
      <c r="AK2"/>
      <c r="AL2"/>
      <c r="AM2"/>
      <c r="AN2"/>
      <c r="AO2"/>
      <c r="AP2"/>
      <c r="AQ2"/>
      <c r="AR2"/>
      <c r="AS2"/>
      <c r="AT2"/>
    </row>
    <row r="3" spans="1:46" s="35" customFormat="1" ht="16" customHeight="1">
      <c r="A3" s="156" t="s">
        <v>11</v>
      </c>
      <c r="B3" s="134" t="s">
        <v>69</v>
      </c>
      <c r="C3" s="130" t="s">
        <v>13</v>
      </c>
      <c r="D3" s="16" t="s">
        <v>253</v>
      </c>
      <c r="E3" s="22" t="s">
        <v>97</v>
      </c>
      <c r="F3" s="84" t="s">
        <v>106</v>
      </c>
      <c r="G3" s="5">
        <v>1</v>
      </c>
      <c r="H3" s="5"/>
      <c r="I3" s="5">
        <v>1</v>
      </c>
      <c r="J3" s="22"/>
      <c r="K3" s="60">
        <v>1</v>
      </c>
      <c r="L3" s="79"/>
      <c r="M3" s="5"/>
      <c r="N3" s="15"/>
      <c r="O3" s="44">
        <v>1</v>
      </c>
      <c r="P3" s="44"/>
      <c r="Q3" s="5"/>
      <c r="R3" s="5">
        <v>1</v>
      </c>
      <c r="S3" s="5"/>
      <c r="T3" s="22"/>
      <c r="U3" s="45">
        <v>1</v>
      </c>
      <c r="V3" s="5">
        <v>1</v>
      </c>
      <c r="W3" s="5">
        <v>1</v>
      </c>
      <c r="X3" s="5">
        <v>1</v>
      </c>
      <c r="Y3" s="10"/>
      <c r="Z3" s="12"/>
      <c r="AA3" s="45">
        <v>1</v>
      </c>
      <c r="AB3" s="5">
        <v>1</v>
      </c>
      <c r="AC3" s="5">
        <v>1</v>
      </c>
      <c r="AD3" s="10"/>
      <c r="AE3" s="10"/>
      <c r="AF3" s="12"/>
      <c r="AG3" s="79"/>
      <c r="AH3" s="81"/>
      <c r="AI3" s="10"/>
      <c r="AJ3" s="12"/>
      <c r="AK3" s="53"/>
    </row>
    <row r="4" spans="1:46" s="35" customFormat="1">
      <c r="A4" s="157"/>
      <c r="B4" s="134" t="s">
        <v>70</v>
      </c>
      <c r="C4" s="130" t="s">
        <v>14</v>
      </c>
      <c r="D4" s="16" t="s">
        <v>35</v>
      </c>
      <c r="E4" s="22"/>
      <c r="F4" s="84" t="s">
        <v>107</v>
      </c>
      <c r="G4" s="5">
        <v>1</v>
      </c>
      <c r="H4" s="5"/>
      <c r="I4" s="5">
        <v>1</v>
      </c>
      <c r="J4" s="22">
        <v>1</v>
      </c>
      <c r="K4" s="60">
        <v>1</v>
      </c>
      <c r="L4" s="79"/>
      <c r="M4" s="5"/>
      <c r="N4" s="15"/>
      <c r="O4" s="44">
        <v>1</v>
      </c>
      <c r="P4" s="5">
        <v>1</v>
      </c>
      <c r="Q4" s="5">
        <v>1</v>
      </c>
      <c r="R4" s="5">
        <v>1</v>
      </c>
      <c r="S4" s="5"/>
      <c r="T4" s="22"/>
      <c r="U4" s="45">
        <v>1</v>
      </c>
      <c r="V4" s="5">
        <v>1</v>
      </c>
      <c r="W4" s="5">
        <v>1</v>
      </c>
      <c r="X4" s="5">
        <v>1</v>
      </c>
      <c r="Y4" s="10"/>
      <c r="Z4" s="12"/>
      <c r="AA4" s="45">
        <v>1</v>
      </c>
      <c r="AB4" s="5">
        <v>1</v>
      </c>
      <c r="AC4" s="5">
        <v>1</v>
      </c>
      <c r="AD4" s="5">
        <v>1</v>
      </c>
      <c r="AE4" s="10"/>
      <c r="AF4" s="12"/>
      <c r="AG4" s="79"/>
      <c r="AH4" s="81"/>
      <c r="AI4" s="10"/>
      <c r="AJ4" s="12"/>
      <c r="AK4" s="53"/>
    </row>
    <row r="5" spans="1:46" s="35" customFormat="1" ht="17">
      <c r="A5" s="157"/>
      <c r="B5" s="135" t="s">
        <v>71</v>
      </c>
      <c r="C5" s="131" t="s">
        <v>15</v>
      </c>
      <c r="D5" s="25" t="s">
        <v>36</v>
      </c>
      <c r="E5" s="22"/>
      <c r="F5" s="84" t="s">
        <v>108</v>
      </c>
      <c r="G5" s="5">
        <v>1</v>
      </c>
      <c r="H5" s="5"/>
      <c r="I5" s="5">
        <v>1</v>
      </c>
      <c r="J5" s="22">
        <v>1</v>
      </c>
      <c r="K5" s="60">
        <v>1</v>
      </c>
      <c r="L5" s="79"/>
      <c r="M5" s="5"/>
      <c r="N5" s="15"/>
      <c r="O5" s="44">
        <v>1</v>
      </c>
      <c r="P5" s="44"/>
      <c r="Q5" s="5"/>
      <c r="R5" s="5"/>
      <c r="S5" s="5"/>
      <c r="T5" s="22"/>
      <c r="U5" s="45">
        <v>1</v>
      </c>
      <c r="V5" s="44"/>
      <c r="W5" s="5">
        <v>1</v>
      </c>
      <c r="X5" s="5">
        <v>1</v>
      </c>
      <c r="Y5" s="10"/>
      <c r="Z5" s="12"/>
      <c r="AA5" s="45">
        <v>1</v>
      </c>
      <c r="AB5" s="5">
        <v>1</v>
      </c>
      <c r="AC5" s="5">
        <v>1</v>
      </c>
      <c r="AD5" s="10"/>
      <c r="AE5" s="10"/>
      <c r="AF5" s="12"/>
      <c r="AG5" s="79"/>
      <c r="AH5" s="81"/>
      <c r="AI5" s="10"/>
      <c r="AJ5" s="12"/>
      <c r="AK5" s="53"/>
    </row>
    <row r="6" spans="1:46" s="35" customFormat="1">
      <c r="A6" s="157"/>
      <c r="B6" s="134" t="s">
        <v>72</v>
      </c>
      <c r="C6" s="130" t="s">
        <v>16</v>
      </c>
      <c r="D6" s="16" t="s">
        <v>37</v>
      </c>
      <c r="E6" s="22"/>
      <c r="F6" s="84" t="s">
        <v>112</v>
      </c>
      <c r="G6" s="5">
        <v>1</v>
      </c>
      <c r="H6" s="5"/>
      <c r="I6" s="5">
        <v>1</v>
      </c>
      <c r="J6" s="22">
        <v>1</v>
      </c>
      <c r="K6" s="60">
        <v>1</v>
      </c>
      <c r="L6" s="79"/>
      <c r="M6" s="5"/>
      <c r="N6" s="15"/>
      <c r="O6" s="44">
        <v>1</v>
      </c>
      <c r="P6" s="5">
        <v>1</v>
      </c>
      <c r="Q6" s="5">
        <v>1</v>
      </c>
      <c r="R6" s="5">
        <v>1</v>
      </c>
      <c r="S6" s="5"/>
      <c r="T6" s="22"/>
      <c r="U6" s="45">
        <v>1</v>
      </c>
      <c r="V6" s="5">
        <v>1</v>
      </c>
      <c r="W6" s="5">
        <v>1</v>
      </c>
      <c r="X6" s="5">
        <v>1</v>
      </c>
      <c r="Y6" s="10"/>
      <c r="Z6" s="12"/>
      <c r="AA6" s="45">
        <v>1</v>
      </c>
      <c r="AB6" s="5">
        <v>1</v>
      </c>
      <c r="AC6" s="5">
        <v>1</v>
      </c>
      <c r="AD6" s="5">
        <v>1</v>
      </c>
      <c r="AE6" s="10"/>
      <c r="AF6" s="12"/>
      <c r="AG6" s="79"/>
      <c r="AH6" s="81"/>
      <c r="AI6" s="10"/>
      <c r="AJ6" s="12"/>
      <c r="AK6" s="53"/>
    </row>
    <row r="7" spans="1:46" s="35" customFormat="1">
      <c r="A7" s="157"/>
      <c r="B7" s="135" t="s">
        <v>73</v>
      </c>
      <c r="C7" s="131" t="s">
        <v>17</v>
      </c>
      <c r="D7" s="45" t="s">
        <v>254</v>
      </c>
      <c r="E7" s="22"/>
      <c r="F7" s="85" t="s">
        <v>113</v>
      </c>
      <c r="G7" s="5">
        <v>1</v>
      </c>
      <c r="H7" s="5"/>
      <c r="I7" s="5">
        <v>1</v>
      </c>
      <c r="J7" s="22">
        <v>1</v>
      </c>
      <c r="K7" s="60">
        <v>1</v>
      </c>
      <c r="L7" s="79"/>
      <c r="M7" s="5"/>
      <c r="N7" s="15"/>
      <c r="O7" s="44">
        <v>1</v>
      </c>
      <c r="P7" s="44"/>
      <c r="Q7" s="5"/>
      <c r="R7" s="5">
        <v>1</v>
      </c>
      <c r="S7" s="5"/>
      <c r="T7" s="22"/>
      <c r="U7" s="45">
        <v>1</v>
      </c>
      <c r="V7" s="5">
        <v>1</v>
      </c>
      <c r="W7" s="5">
        <v>1</v>
      </c>
      <c r="X7" s="5">
        <v>1</v>
      </c>
      <c r="Y7" s="10"/>
      <c r="Z7" s="12"/>
      <c r="AA7" s="45">
        <v>1</v>
      </c>
      <c r="AB7" s="5">
        <v>1</v>
      </c>
      <c r="AC7" s="5">
        <v>1</v>
      </c>
      <c r="AD7" s="10"/>
      <c r="AE7" s="10"/>
      <c r="AF7" s="12"/>
      <c r="AG7" s="79"/>
      <c r="AH7" s="81"/>
      <c r="AI7" s="10"/>
      <c r="AJ7" s="12"/>
      <c r="AK7" s="53"/>
    </row>
    <row r="8" spans="1:46" s="35" customFormat="1">
      <c r="A8" s="157"/>
      <c r="B8" s="135" t="s">
        <v>74</v>
      </c>
      <c r="C8" s="131" t="s">
        <v>18</v>
      </c>
      <c r="D8" s="16" t="s">
        <v>252</v>
      </c>
      <c r="E8" s="22"/>
      <c r="F8" s="85" t="s">
        <v>114</v>
      </c>
      <c r="G8" s="5">
        <v>1</v>
      </c>
      <c r="H8" s="5"/>
      <c r="I8" s="5">
        <v>1</v>
      </c>
      <c r="J8" s="22">
        <v>1</v>
      </c>
      <c r="K8" s="60">
        <v>1</v>
      </c>
      <c r="L8" s="79"/>
      <c r="M8" s="5"/>
      <c r="N8" s="15"/>
      <c r="O8" s="44">
        <v>1</v>
      </c>
      <c r="P8" s="5">
        <v>1</v>
      </c>
      <c r="Q8" s="5">
        <v>1</v>
      </c>
      <c r="R8" s="5">
        <v>1</v>
      </c>
      <c r="S8" s="5"/>
      <c r="T8" s="22"/>
      <c r="U8" s="45">
        <v>1</v>
      </c>
      <c r="V8" s="5">
        <v>1</v>
      </c>
      <c r="W8" s="5">
        <v>1</v>
      </c>
      <c r="X8" s="5">
        <v>1</v>
      </c>
      <c r="Y8" s="10"/>
      <c r="Z8" s="12"/>
      <c r="AA8" s="45">
        <v>1</v>
      </c>
      <c r="AB8" s="5">
        <v>1</v>
      </c>
      <c r="AC8" s="5">
        <v>1</v>
      </c>
      <c r="AD8" s="5">
        <v>1</v>
      </c>
      <c r="AE8" s="10"/>
      <c r="AF8" s="12"/>
      <c r="AG8" s="79"/>
      <c r="AH8" s="81"/>
      <c r="AI8" s="10"/>
      <c r="AJ8" s="12"/>
      <c r="AK8" s="53"/>
    </row>
    <row r="9" spans="1:46" s="35" customFormat="1">
      <c r="A9" s="157"/>
      <c r="B9" s="136" t="s">
        <v>12</v>
      </c>
      <c r="C9" s="132" t="s">
        <v>19</v>
      </c>
      <c r="D9" s="16" t="s">
        <v>38</v>
      </c>
      <c r="E9" s="22"/>
      <c r="F9" s="84" t="s">
        <v>110</v>
      </c>
      <c r="G9" s="5">
        <v>1</v>
      </c>
      <c r="H9" s="5"/>
      <c r="I9" s="5">
        <v>1</v>
      </c>
      <c r="J9" s="22">
        <v>1</v>
      </c>
      <c r="K9" s="60">
        <v>1</v>
      </c>
      <c r="L9" s="79"/>
      <c r="M9" s="5"/>
      <c r="N9" s="15"/>
      <c r="O9" s="44">
        <v>1</v>
      </c>
      <c r="P9" s="5">
        <v>1</v>
      </c>
      <c r="Q9" s="5">
        <v>1</v>
      </c>
      <c r="R9" s="5">
        <v>1</v>
      </c>
      <c r="S9" s="5"/>
      <c r="T9" s="22"/>
      <c r="U9" s="45">
        <v>1</v>
      </c>
      <c r="V9" s="5">
        <v>1</v>
      </c>
      <c r="W9" s="5">
        <v>1</v>
      </c>
      <c r="X9" s="5">
        <v>1</v>
      </c>
      <c r="Y9" s="10"/>
      <c r="Z9" s="12"/>
      <c r="AA9" s="45">
        <v>1</v>
      </c>
      <c r="AB9" s="5">
        <v>1</v>
      </c>
      <c r="AC9" s="5">
        <v>1</v>
      </c>
      <c r="AD9" s="5">
        <v>1</v>
      </c>
      <c r="AE9" s="10"/>
      <c r="AF9" s="12"/>
      <c r="AG9" s="79"/>
      <c r="AH9" s="81"/>
      <c r="AI9" s="10"/>
      <c r="AJ9" s="12"/>
      <c r="AK9" s="53"/>
    </row>
    <row r="10" spans="1:46" s="35" customFormat="1">
      <c r="A10" s="157"/>
      <c r="B10" s="135" t="s">
        <v>75</v>
      </c>
      <c r="C10" s="131" t="s">
        <v>20</v>
      </c>
      <c r="D10" s="16" t="s">
        <v>255</v>
      </c>
      <c r="E10" s="22"/>
      <c r="F10" s="84" t="s">
        <v>101</v>
      </c>
      <c r="G10" s="5">
        <v>1</v>
      </c>
      <c r="H10" s="5"/>
      <c r="I10" s="5">
        <v>1</v>
      </c>
      <c r="J10" s="22">
        <v>1</v>
      </c>
      <c r="K10" s="60">
        <v>1</v>
      </c>
      <c r="L10" s="79"/>
      <c r="M10" s="5"/>
      <c r="N10" s="15"/>
      <c r="O10" s="44">
        <v>1</v>
      </c>
      <c r="P10" s="5">
        <v>1</v>
      </c>
      <c r="Q10" s="5">
        <v>1</v>
      </c>
      <c r="R10" s="5">
        <v>1</v>
      </c>
      <c r="S10" s="5"/>
      <c r="T10" s="22"/>
      <c r="U10" s="45">
        <v>1</v>
      </c>
      <c r="V10" s="5">
        <v>1</v>
      </c>
      <c r="W10" s="5">
        <v>1</v>
      </c>
      <c r="X10" s="5">
        <v>1</v>
      </c>
      <c r="Y10" s="10"/>
      <c r="Z10" s="12"/>
      <c r="AA10" s="45">
        <v>1</v>
      </c>
      <c r="AB10" s="5">
        <v>1</v>
      </c>
      <c r="AC10" s="5">
        <v>1</v>
      </c>
      <c r="AD10" s="5">
        <v>1</v>
      </c>
      <c r="AE10" s="10"/>
      <c r="AF10" s="12"/>
      <c r="AG10" s="79"/>
      <c r="AH10" s="81"/>
      <c r="AI10" s="10"/>
      <c r="AJ10" s="12"/>
      <c r="AK10" s="53"/>
    </row>
    <row r="11" spans="1:46" s="35" customFormat="1">
      <c r="A11" s="157"/>
      <c r="B11" s="135" t="s">
        <v>76</v>
      </c>
      <c r="C11" s="131" t="s">
        <v>21</v>
      </c>
      <c r="D11" s="16" t="s">
        <v>39</v>
      </c>
      <c r="E11" s="22"/>
      <c r="F11" s="85"/>
      <c r="G11" s="5">
        <v>1</v>
      </c>
      <c r="H11" s="5"/>
      <c r="I11" s="5">
        <v>1</v>
      </c>
      <c r="J11" s="22">
        <v>1</v>
      </c>
      <c r="K11" s="60">
        <v>1</v>
      </c>
      <c r="L11" s="63">
        <v>1</v>
      </c>
      <c r="M11" s="17"/>
      <c r="N11" s="15"/>
      <c r="O11" s="44">
        <v>1</v>
      </c>
      <c r="P11" s="44"/>
      <c r="Q11" s="5"/>
      <c r="R11" s="5"/>
      <c r="S11" s="17"/>
      <c r="T11" s="22"/>
      <c r="U11" s="45">
        <v>1</v>
      </c>
      <c r="V11" s="5">
        <v>1</v>
      </c>
      <c r="W11" s="5">
        <v>1</v>
      </c>
      <c r="X11" s="5">
        <v>1</v>
      </c>
      <c r="Y11" s="10"/>
      <c r="Z11" s="12"/>
      <c r="AA11" s="45">
        <v>1</v>
      </c>
      <c r="AB11" s="5">
        <v>1</v>
      </c>
      <c r="AC11" s="5">
        <v>1</v>
      </c>
      <c r="AD11" s="5">
        <v>1</v>
      </c>
      <c r="AE11" s="10"/>
      <c r="AF11" s="12"/>
      <c r="AG11" s="45">
        <v>1</v>
      </c>
      <c r="AH11" s="44"/>
      <c r="AI11" s="5"/>
      <c r="AJ11" s="12"/>
      <c r="AK11" s="53"/>
    </row>
    <row r="12" spans="1:46" s="35" customFormat="1">
      <c r="A12" s="157"/>
      <c r="B12" s="135" t="s">
        <v>77</v>
      </c>
      <c r="C12" s="131" t="s">
        <v>22</v>
      </c>
      <c r="D12" s="16" t="s">
        <v>40</v>
      </c>
      <c r="E12" s="22"/>
      <c r="F12" s="84" t="s">
        <v>111</v>
      </c>
      <c r="G12" s="5">
        <v>1</v>
      </c>
      <c r="H12" s="5"/>
      <c r="I12" s="5">
        <v>1</v>
      </c>
      <c r="J12" s="22">
        <v>1</v>
      </c>
      <c r="K12" s="60">
        <v>1</v>
      </c>
      <c r="L12" s="45">
        <v>1</v>
      </c>
      <c r="M12" s="5">
        <v>1</v>
      </c>
      <c r="N12" s="15"/>
      <c r="O12" s="44">
        <v>1</v>
      </c>
      <c r="P12" s="5">
        <v>1</v>
      </c>
      <c r="Q12" s="5">
        <v>1</v>
      </c>
      <c r="R12" s="5">
        <v>1</v>
      </c>
      <c r="S12" s="5">
        <v>1</v>
      </c>
      <c r="T12" s="22"/>
      <c r="U12" s="45">
        <v>1</v>
      </c>
      <c r="V12" s="5">
        <v>1</v>
      </c>
      <c r="W12" s="5">
        <v>1</v>
      </c>
      <c r="X12" s="5">
        <v>1</v>
      </c>
      <c r="Y12" s="5">
        <v>1</v>
      </c>
      <c r="Z12" s="12"/>
      <c r="AA12" s="45">
        <v>1</v>
      </c>
      <c r="AB12" s="5">
        <v>1</v>
      </c>
      <c r="AC12" s="5">
        <v>1</v>
      </c>
      <c r="AD12" s="5">
        <v>1</v>
      </c>
      <c r="AE12" s="5">
        <v>1</v>
      </c>
      <c r="AF12" s="12"/>
      <c r="AG12" s="45">
        <v>1</v>
      </c>
      <c r="AH12" s="5">
        <v>1</v>
      </c>
      <c r="AI12" s="5">
        <v>1</v>
      </c>
      <c r="AJ12" s="12"/>
      <c r="AK12" s="53"/>
    </row>
    <row r="13" spans="1:46" s="35" customFormat="1">
      <c r="A13" s="157"/>
      <c r="B13" s="136" t="s">
        <v>78</v>
      </c>
      <c r="C13" s="132" t="s">
        <v>23</v>
      </c>
      <c r="D13" s="16" t="s">
        <v>41</v>
      </c>
      <c r="E13" s="22"/>
      <c r="F13" s="84" t="s">
        <v>115</v>
      </c>
      <c r="G13" s="5"/>
      <c r="H13" s="5"/>
      <c r="I13" s="5"/>
      <c r="J13" s="22"/>
      <c r="K13" s="22"/>
      <c r="L13" s="79"/>
      <c r="M13" s="5">
        <v>1</v>
      </c>
      <c r="N13" s="15"/>
      <c r="O13" s="44">
        <v>1</v>
      </c>
      <c r="P13" s="5">
        <v>1</v>
      </c>
      <c r="Q13" s="5">
        <v>1</v>
      </c>
      <c r="R13" s="5">
        <v>1</v>
      </c>
      <c r="S13" s="5">
        <v>1</v>
      </c>
      <c r="T13" s="22"/>
      <c r="U13" s="45">
        <v>1</v>
      </c>
      <c r="V13" s="5">
        <v>1</v>
      </c>
      <c r="W13" s="5">
        <v>1</v>
      </c>
      <c r="X13" s="5">
        <v>1</v>
      </c>
      <c r="Y13" s="5">
        <v>1</v>
      </c>
      <c r="Z13" s="12"/>
      <c r="AA13" s="45">
        <v>1</v>
      </c>
      <c r="AB13" s="5">
        <v>1</v>
      </c>
      <c r="AC13" s="5">
        <v>1</v>
      </c>
      <c r="AD13" s="5">
        <v>1</v>
      </c>
      <c r="AE13" s="5">
        <v>1</v>
      </c>
      <c r="AF13" s="12"/>
      <c r="AG13" s="63">
        <v>1</v>
      </c>
      <c r="AH13" s="5">
        <v>1</v>
      </c>
      <c r="AI13" s="5">
        <v>1</v>
      </c>
      <c r="AJ13" s="12"/>
      <c r="AK13" s="53"/>
    </row>
    <row r="14" spans="1:46" s="35" customFormat="1">
      <c r="A14" s="157"/>
      <c r="B14" s="134" t="s">
        <v>79</v>
      </c>
      <c r="C14" s="130" t="s">
        <v>24</v>
      </c>
      <c r="D14" s="16" t="s">
        <v>42</v>
      </c>
      <c r="E14" s="22"/>
      <c r="F14" s="85"/>
      <c r="G14" s="5">
        <v>1</v>
      </c>
      <c r="H14" s="5"/>
      <c r="I14" s="5">
        <v>1</v>
      </c>
      <c r="J14" s="22">
        <v>1</v>
      </c>
      <c r="K14" s="60">
        <v>1</v>
      </c>
      <c r="L14" s="45">
        <v>1</v>
      </c>
      <c r="M14" s="5">
        <v>1</v>
      </c>
      <c r="N14" s="15"/>
      <c r="O14" s="44">
        <v>1</v>
      </c>
      <c r="P14" s="44"/>
      <c r="Q14" s="5"/>
      <c r="R14" s="5">
        <v>1</v>
      </c>
      <c r="S14" s="5">
        <v>1</v>
      </c>
      <c r="T14" s="22"/>
      <c r="U14" s="45">
        <v>1</v>
      </c>
      <c r="V14" s="5">
        <v>1</v>
      </c>
      <c r="W14" s="5"/>
      <c r="X14" s="5">
        <v>1</v>
      </c>
      <c r="Y14" s="5">
        <v>1</v>
      </c>
      <c r="Z14" s="12"/>
      <c r="AA14" s="45">
        <v>1</v>
      </c>
      <c r="AB14" s="5">
        <v>1</v>
      </c>
      <c r="AC14" s="5">
        <v>1</v>
      </c>
      <c r="AD14" s="5">
        <v>1</v>
      </c>
      <c r="AE14" s="5"/>
      <c r="AF14" s="12"/>
      <c r="AG14" s="45">
        <v>1</v>
      </c>
      <c r="AH14" s="5">
        <v>1</v>
      </c>
      <c r="AI14" s="5">
        <v>1</v>
      </c>
      <c r="AJ14" s="12"/>
      <c r="AK14" s="53"/>
    </row>
    <row r="15" spans="1:46" s="35" customFormat="1">
      <c r="A15" s="157"/>
      <c r="B15" s="134" t="s">
        <v>80</v>
      </c>
      <c r="C15" s="130" t="s">
        <v>25</v>
      </c>
      <c r="D15" s="16" t="s">
        <v>43</v>
      </c>
      <c r="E15" s="22"/>
      <c r="F15" s="85"/>
      <c r="G15" s="5">
        <v>1</v>
      </c>
      <c r="H15" s="5"/>
      <c r="I15" s="5">
        <v>1</v>
      </c>
      <c r="J15" s="22">
        <v>1</v>
      </c>
      <c r="K15" s="60">
        <v>1</v>
      </c>
      <c r="L15" s="45">
        <v>1</v>
      </c>
      <c r="M15" s="17"/>
      <c r="N15" s="15"/>
      <c r="O15" s="44">
        <v>1</v>
      </c>
      <c r="P15" s="137">
        <v>1</v>
      </c>
      <c r="Q15" s="137">
        <v>1</v>
      </c>
      <c r="R15" s="5"/>
      <c r="S15" s="137">
        <v>1</v>
      </c>
      <c r="T15" s="22"/>
      <c r="U15" s="45">
        <v>1</v>
      </c>
      <c r="V15" s="137">
        <v>1</v>
      </c>
      <c r="W15" s="137">
        <v>1</v>
      </c>
      <c r="X15" s="5"/>
      <c r="Y15" s="137">
        <v>1</v>
      </c>
      <c r="Z15" s="7"/>
      <c r="AA15" s="45">
        <v>1</v>
      </c>
      <c r="AB15" s="44"/>
      <c r="AC15" s="5"/>
      <c r="AD15" s="137">
        <v>1</v>
      </c>
      <c r="AE15" s="137">
        <v>1</v>
      </c>
      <c r="AF15" s="7"/>
      <c r="AG15" s="45">
        <v>1</v>
      </c>
      <c r="AH15" s="44"/>
      <c r="AI15" s="5"/>
      <c r="AJ15" s="7"/>
      <c r="AK15" s="53"/>
    </row>
    <row r="16" spans="1:46" s="35" customFormat="1">
      <c r="A16" s="157"/>
      <c r="B16" s="134" t="s">
        <v>81</v>
      </c>
      <c r="C16" s="130" t="s">
        <v>26</v>
      </c>
      <c r="D16" s="16" t="s">
        <v>44</v>
      </c>
      <c r="E16" s="22"/>
      <c r="F16" s="85"/>
      <c r="G16" s="5">
        <v>1</v>
      </c>
      <c r="H16" s="5"/>
      <c r="I16" s="5">
        <v>1</v>
      </c>
      <c r="J16" s="22">
        <v>1</v>
      </c>
      <c r="K16" s="60">
        <v>1</v>
      </c>
      <c r="L16" s="45">
        <v>1</v>
      </c>
      <c r="M16" s="5">
        <v>1</v>
      </c>
      <c r="N16" s="15"/>
      <c r="O16" s="44">
        <v>1</v>
      </c>
      <c r="P16" s="44"/>
      <c r="Q16" s="5"/>
      <c r="R16" s="5">
        <v>1</v>
      </c>
      <c r="S16" s="5">
        <v>1</v>
      </c>
      <c r="T16" s="22"/>
      <c r="U16" s="45">
        <v>1</v>
      </c>
      <c r="V16" s="5">
        <v>1</v>
      </c>
      <c r="W16" s="5"/>
      <c r="X16" s="5">
        <v>1</v>
      </c>
      <c r="Y16" s="5">
        <v>1</v>
      </c>
      <c r="Z16" s="12"/>
      <c r="AA16" s="45">
        <v>1</v>
      </c>
      <c r="AB16" s="5">
        <v>1</v>
      </c>
      <c r="AC16" s="5">
        <v>1</v>
      </c>
      <c r="AD16" s="5">
        <v>1</v>
      </c>
      <c r="AE16" s="5"/>
      <c r="AF16" s="12"/>
      <c r="AG16" s="45">
        <v>1</v>
      </c>
      <c r="AH16" s="5">
        <v>1</v>
      </c>
      <c r="AI16" s="5">
        <v>1</v>
      </c>
      <c r="AJ16" s="7"/>
      <c r="AK16" s="53"/>
    </row>
    <row r="17" spans="1:37" s="35" customFormat="1">
      <c r="A17" s="157"/>
      <c r="B17" s="134" t="s">
        <v>82</v>
      </c>
      <c r="C17" s="130" t="s">
        <v>27</v>
      </c>
      <c r="D17" s="16" t="s">
        <v>45</v>
      </c>
      <c r="E17" s="22"/>
      <c r="F17" s="85"/>
      <c r="G17" s="5">
        <v>1</v>
      </c>
      <c r="H17" s="5"/>
      <c r="I17" s="5">
        <v>1</v>
      </c>
      <c r="J17" s="22">
        <v>1</v>
      </c>
      <c r="K17" s="60">
        <v>1</v>
      </c>
      <c r="L17" s="45">
        <v>1</v>
      </c>
      <c r="M17" s="17"/>
      <c r="N17" s="15"/>
      <c r="O17" s="44">
        <v>1</v>
      </c>
      <c r="P17" s="137">
        <v>1</v>
      </c>
      <c r="Q17" s="137">
        <v>1</v>
      </c>
      <c r="R17" s="5"/>
      <c r="S17" s="137">
        <v>1</v>
      </c>
      <c r="T17" s="22"/>
      <c r="U17" s="45">
        <v>1</v>
      </c>
      <c r="V17" s="137">
        <v>1</v>
      </c>
      <c r="W17" s="137">
        <v>1</v>
      </c>
      <c r="X17" s="5"/>
      <c r="Y17" s="137">
        <v>1</v>
      </c>
      <c r="Z17" s="7"/>
      <c r="AA17" s="45">
        <v>1</v>
      </c>
      <c r="AB17" s="44"/>
      <c r="AC17" s="5"/>
      <c r="AD17" s="137">
        <v>1</v>
      </c>
      <c r="AE17" s="137">
        <v>1</v>
      </c>
      <c r="AF17" s="7"/>
      <c r="AG17" s="45">
        <v>1</v>
      </c>
      <c r="AH17" s="44"/>
      <c r="AI17" s="5"/>
      <c r="AJ17" s="7"/>
      <c r="AK17" s="53"/>
    </row>
    <row r="18" spans="1:37" s="35" customFormat="1">
      <c r="A18" s="157"/>
      <c r="B18" s="134" t="s">
        <v>266</v>
      </c>
      <c r="C18" s="130" t="s">
        <v>28</v>
      </c>
      <c r="D18" s="16" t="s">
        <v>46</v>
      </c>
      <c r="E18" s="22"/>
      <c r="F18" s="85"/>
      <c r="G18" s="5">
        <v>1</v>
      </c>
      <c r="H18" s="5"/>
      <c r="I18" s="5">
        <v>1</v>
      </c>
      <c r="J18" s="22">
        <v>1</v>
      </c>
      <c r="K18" s="60">
        <v>1</v>
      </c>
      <c r="L18" s="45">
        <v>1</v>
      </c>
      <c r="M18" s="17"/>
      <c r="N18" s="15"/>
      <c r="O18" s="44">
        <v>1</v>
      </c>
      <c r="P18" s="137">
        <v>1</v>
      </c>
      <c r="Q18" s="137">
        <v>1</v>
      </c>
      <c r="R18" s="5"/>
      <c r="S18" s="137">
        <v>1</v>
      </c>
      <c r="T18" s="22"/>
      <c r="U18" s="45">
        <v>1</v>
      </c>
      <c r="V18" s="137">
        <v>1</v>
      </c>
      <c r="W18" s="137">
        <v>1</v>
      </c>
      <c r="X18" s="5"/>
      <c r="Y18" s="137">
        <v>1</v>
      </c>
      <c r="Z18" s="7"/>
      <c r="AA18" s="45">
        <v>1</v>
      </c>
      <c r="AB18" s="44"/>
      <c r="AC18" s="5"/>
      <c r="AD18" s="137">
        <v>1</v>
      </c>
      <c r="AE18" s="137">
        <v>1</v>
      </c>
      <c r="AF18" s="7"/>
      <c r="AG18" s="45">
        <v>1</v>
      </c>
      <c r="AH18" s="44"/>
      <c r="AI18" s="5"/>
      <c r="AJ18" s="7"/>
      <c r="AK18" s="53"/>
    </row>
    <row r="19" spans="1:37" s="35" customFormat="1">
      <c r="A19" s="157"/>
      <c r="B19" s="134" t="s">
        <v>84</v>
      </c>
      <c r="C19" s="130" t="s">
        <v>29</v>
      </c>
      <c r="D19" s="16" t="s">
        <v>47</v>
      </c>
      <c r="E19" s="22"/>
      <c r="F19" s="85"/>
      <c r="G19" s="5">
        <v>1</v>
      </c>
      <c r="H19" s="5"/>
      <c r="I19" s="5">
        <v>1</v>
      </c>
      <c r="J19" s="22">
        <v>1</v>
      </c>
      <c r="K19" s="60">
        <v>1</v>
      </c>
      <c r="L19" s="45">
        <v>1</v>
      </c>
      <c r="M19" s="5">
        <v>1</v>
      </c>
      <c r="N19" s="15"/>
      <c r="O19" s="44">
        <v>1</v>
      </c>
      <c r="P19" s="44"/>
      <c r="Q19" s="5"/>
      <c r="R19" s="5">
        <v>1</v>
      </c>
      <c r="S19" s="5">
        <v>1</v>
      </c>
      <c r="T19" s="22"/>
      <c r="U19" s="45">
        <v>1</v>
      </c>
      <c r="V19" s="5">
        <v>1</v>
      </c>
      <c r="W19" s="5"/>
      <c r="X19" s="5">
        <v>1</v>
      </c>
      <c r="Y19" s="5">
        <v>1</v>
      </c>
      <c r="Z19" s="12"/>
      <c r="AA19" s="45">
        <v>1</v>
      </c>
      <c r="AB19" s="5">
        <v>1</v>
      </c>
      <c r="AC19" s="5">
        <v>1</v>
      </c>
      <c r="AD19" s="5">
        <v>1</v>
      </c>
      <c r="AE19" s="5"/>
      <c r="AF19" s="12"/>
      <c r="AG19" s="45">
        <v>1</v>
      </c>
      <c r="AH19" s="5">
        <v>1</v>
      </c>
      <c r="AI19" s="5">
        <v>1</v>
      </c>
      <c r="AJ19" s="7"/>
      <c r="AK19" s="53"/>
    </row>
    <row r="20" spans="1:37" s="35" customFormat="1">
      <c r="A20" s="157"/>
      <c r="B20" s="134" t="s">
        <v>85</v>
      </c>
      <c r="C20" s="130" t="s">
        <v>30</v>
      </c>
      <c r="D20" s="16" t="s">
        <v>48</v>
      </c>
      <c r="E20" s="22"/>
      <c r="F20" s="85"/>
      <c r="G20" s="5">
        <v>1</v>
      </c>
      <c r="H20" s="5"/>
      <c r="I20" s="5">
        <v>1</v>
      </c>
      <c r="J20" s="22">
        <v>1</v>
      </c>
      <c r="K20" s="60">
        <v>1</v>
      </c>
      <c r="L20" s="45">
        <v>1</v>
      </c>
      <c r="M20" s="5">
        <v>1</v>
      </c>
      <c r="N20" s="15"/>
      <c r="O20" s="44">
        <v>1</v>
      </c>
      <c r="P20" s="44"/>
      <c r="Q20" s="5"/>
      <c r="R20" s="5">
        <v>1</v>
      </c>
      <c r="S20" s="5">
        <v>1</v>
      </c>
      <c r="T20" s="22"/>
      <c r="U20" s="45">
        <v>1</v>
      </c>
      <c r="V20" s="5">
        <v>1</v>
      </c>
      <c r="W20" s="5"/>
      <c r="X20" s="5">
        <v>1</v>
      </c>
      <c r="Y20" s="5">
        <v>1</v>
      </c>
      <c r="Z20" s="12"/>
      <c r="AA20" s="45">
        <v>1</v>
      </c>
      <c r="AB20" s="5">
        <v>1</v>
      </c>
      <c r="AC20" s="5">
        <v>1</v>
      </c>
      <c r="AD20" s="5">
        <v>1</v>
      </c>
      <c r="AE20" s="5"/>
      <c r="AF20" s="12"/>
      <c r="AG20" s="45">
        <v>1</v>
      </c>
      <c r="AH20" s="5">
        <v>1</v>
      </c>
      <c r="AI20" s="5">
        <v>1</v>
      </c>
      <c r="AJ20" s="7"/>
      <c r="AK20" s="53"/>
    </row>
    <row r="21" spans="1:37" s="35" customFormat="1">
      <c r="A21" s="157"/>
      <c r="B21" s="134" t="s">
        <v>86</v>
      </c>
      <c r="C21" s="130" t="s">
        <v>31</v>
      </c>
      <c r="D21" s="16" t="s">
        <v>49</v>
      </c>
      <c r="E21" s="22"/>
      <c r="F21" s="85"/>
      <c r="G21" s="5">
        <v>1</v>
      </c>
      <c r="H21" s="5"/>
      <c r="I21" s="5">
        <v>1</v>
      </c>
      <c r="J21" s="22">
        <v>1</v>
      </c>
      <c r="K21" s="60">
        <v>1</v>
      </c>
      <c r="L21" s="45">
        <v>1</v>
      </c>
      <c r="M21" s="17"/>
      <c r="N21" s="15"/>
      <c r="O21" s="44">
        <v>1</v>
      </c>
      <c r="P21" s="137">
        <v>1</v>
      </c>
      <c r="Q21" s="137">
        <v>1</v>
      </c>
      <c r="R21" s="5"/>
      <c r="S21" s="137">
        <v>1</v>
      </c>
      <c r="T21" s="22"/>
      <c r="U21" s="45">
        <v>1</v>
      </c>
      <c r="V21" s="137">
        <v>1</v>
      </c>
      <c r="W21" s="137">
        <v>1</v>
      </c>
      <c r="X21" s="5"/>
      <c r="Y21" s="137">
        <v>1</v>
      </c>
      <c r="Z21" s="7"/>
      <c r="AA21" s="45">
        <v>1</v>
      </c>
      <c r="AB21" s="44"/>
      <c r="AC21" s="5"/>
      <c r="AD21" s="137">
        <v>1</v>
      </c>
      <c r="AE21" s="137">
        <v>1</v>
      </c>
      <c r="AF21" s="7"/>
      <c r="AG21" s="45">
        <v>1</v>
      </c>
      <c r="AH21" s="44"/>
      <c r="AI21" s="10"/>
      <c r="AJ21" s="7"/>
      <c r="AK21" s="53"/>
    </row>
    <row r="22" spans="1:37" s="35" customFormat="1">
      <c r="A22" s="157"/>
      <c r="B22" s="36" t="s">
        <v>262</v>
      </c>
      <c r="C22" s="132" t="s">
        <v>32</v>
      </c>
      <c r="D22" s="45" t="s">
        <v>50</v>
      </c>
      <c r="E22" s="22"/>
      <c r="F22" s="85"/>
      <c r="G22" s="5"/>
      <c r="H22" s="5"/>
      <c r="I22" s="5"/>
      <c r="J22" s="22"/>
      <c r="K22" s="9"/>
      <c r="L22" s="79"/>
      <c r="M22" s="17"/>
      <c r="N22" s="15"/>
      <c r="O22" s="81"/>
      <c r="P22" s="81"/>
      <c r="Q22" s="5"/>
      <c r="R22" s="5"/>
      <c r="S22" s="17"/>
      <c r="T22" s="22"/>
      <c r="U22" s="45">
        <v>1</v>
      </c>
      <c r="V22" s="5">
        <v>1</v>
      </c>
      <c r="W22" s="5">
        <v>1</v>
      </c>
      <c r="X22" s="5">
        <v>1</v>
      </c>
      <c r="Y22" s="10"/>
      <c r="Z22" s="12"/>
      <c r="AA22" s="45">
        <v>1</v>
      </c>
      <c r="AB22" s="5">
        <v>1</v>
      </c>
      <c r="AC22" s="5">
        <v>1</v>
      </c>
      <c r="AD22" s="5">
        <v>1</v>
      </c>
      <c r="AE22" s="5"/>
      <c r="AF22" s="7"/>
      <c r="AG22" s="79"/>
      <c r="AH22" s="81"/>
      <c r="AI22" s="10"/>
      <c r="AJ22" s="7"/>
      <c r="AK22" s="53"/>
    </row>
    <row r="23" spans="1:37" s="35" customFormat="1">
      <c r="A23" s="157"/>
      <c r="B23" s="36" t="s">
        <v>263</v>
      </c>
      <c r="C23" s="132" t="s">
        <v>33</v>
      </c>
      <c r="D23" s="45" t="s">
        <v>51</v>
      </c>
      <c r="E23" s="22"/>
      <c r="F23" s="85"/>
      <c r="G23" s="5"/>
      <c r="H23" s="5"/>
      <c r="I23" s="5"/>
      <c r="J23" s="22"/>
      <c r="K23" s="60"/>
      <c r="L23" s="79"/>
      <c r="M23" s="17"/>
      <c r="N23" s="15"/>
      <c r="O23" s="81"/>
      <c r="P23" s="81"/>
      <c r="Q23" s="5"/>
      <c r="R23" s="5"/>
      <c r="S23" s="17"/>
      <c r="T23" s="22"/>
      <c r="U23" s="45">
        <v>1</v>
      </c>
      <c r="V23" s="5">
        <v>1</v>
      </c>
      <c r="W23" s="5">
        <v>1</v>
      </c>
      <c r="X23" s="5">
        <v>1</v>
      </c>
      <c r="Y23" s="10"/>
      <c r="Z23" s="12"/>
      <c r="AA23" s="45">
        <v>1</v>
      </c>
      <c r="AB23" s="5">
        <v>1</v>
      </c>
      <c r="AC23" s="5">
        <v>1</v>
      </c>
      <c r="AD23" s="5">
        <v>1</v>
      </c>
      <c r="AE23" s="5"/>
      <c r="AF23" s="7"/>
      <c r="AG23" s="79"/>
      <c r="AH23" s="81"/>
      <c r="AI23" s="10"/>
      <c r="AJ23" s="7"/>
      <c r="AK23" s="53"/>
    </row>
    <row r="24" spans="1:37" s="35" customFormat="1">
      <c r="A24" s="158"/>
      <c r="B24" s="36" t="s">
        <v>264</v>
      </c>
      <c r="C24" s="34" t="s">
        <v>265</v>
      </c>
      <c r="D24" s="45" t="s">
        <v>52</v>
      </c>
      <c r="E24" s="22"/>
      <c r="F24" s="85"/>
      <c r="G24" s="5"/>
      <c r="H24" s="5"/>
      <c r="I24" s="5"/>
      <c r="J24" s="22"/>
      <c r="K24" s="60"/>
      <c r="L24" s="79"/>
      <c r="M24" s="17"/>
      <c r="N24" s="15"/>
      <c r="O24" s="81"/>
      <c r="P24" s="81"/>
      <c r="Q24" s="5"/>
      <c r="R24" s="5"/>
      <c r="S24" s="17"/>
      <c r="T24" s="22"/>
      <c r="U24" s="45">
        <v>1</v>
      </c>
      <c r="V24" s="5">
        <v>1</v>
      </c>
      <c r="W24" s="5">
        <v>1</v>
      </c>
      <c r="X24" s="5">
        <v>1</v>
      </c>
      <c r="Y24" s="10"/>
      <c r="Z24" s="12"/>
      <c r="AA24" s="45">
        <v>1</v>
      </c>
      <c r="AB24" s="5">
        <v>1</v>
      </c>
      <c r="AC24" s="5">
        <v>1</v>
      </c>
      <c r="AD24" s="5">
        <v>1</v>
      </c>
      <c r="AE24" s="5"/>
      <c r="AF24" s="7"/>
      <c r="AG24" s="79"/>
      <c r="AH24" s="81"/>
      <c r="AI24" s="10"/>
      <c r="AJ24" s="7"/>
      <c r="AK24" s="53"/>
    </row>
    <row r="25" spans="1:37" s="35" customFormat="1" ht="17">
      <c r="A25" s="72" t="s">
        <v>102</v>
      </c>
      <c r="B25" s="71" t="s">
        <v>103</v>
      </c>
      <c r="C25" s="33" t="s">
        <v>104</v>
      </c>
      <c r="D25" s="45" t="s">
        <v>105</v>
      </c>
      <c r="E25" s="22"/>
      <c r="F25" s="84" t="s">
        <v>119</v>
      </c>
      <c r="G25" s="5"/>
      <c r="H25" s="5"/>
      <c r="I25" s="5"/>
      <c r="J25" s="22"/>
      <c r="K25" s="60"/>
      <c r="L25" s="79"/>
      <c r="M25" s="17"/>
      <c r="N25" s="15"/>
      <c r="O25" s="79"/>
      <c r="P25" s="81"/>
      <c r="Q25" s="5"/>
      <c r="R25" s="5"/>
      <c r="S25" s="17"/>
      <c r="T25" s="22"/>
      <c r="U25" s="75">
        <v>1</v>
      </c>
      <c r="V25" s="5">
        <v>1</v>
      </c>
      <c r="W25" s="138">
        <v>1</v>
      </c>
      <c r="X25" s="10"/>
      <c r="Y25" s="5"/>
      <c r="Z25" s="7"/>
      <c r="AA25" s="75">
        <v>1</v>
      </c>
      <c r="AB25" s="5">
        <v>1</v>
      </c>
      <c r="AC25" s="5">
        <v>1</v>
      </c>
      <c r="AD25" s="10"/>
      <c r="AE25" s="5"/>
      <c r="AF25" s="7"/>
      <c r="AG25" s="79"/>
      <c r="AH25" s="81"/>
      <c r="AI25" s="10"/>
      <c r="AJ25" s="7"/>
      <c r="AK25" s="53"/>
    </row>
    <row r="26" spans="1:37" s="35" customFormat="1" ht="17" customHeight="1">
      <c r="A26" s="160" t="s">
        <v>124</v>
      </c>
      <c r="B26" s="71" t="s">
        <v>117</v>
      </c>
      <c r="C26" s="33" t="s">
        <v>118</v>
      </c>
      <c r="D26" s="45"/>
      <c r="E26" s="22"/>
      <c r="F26" s="84" t="s">
        <v>116</v>
      </c>
      <c r="G26" s="5"/>
      <c r="H26" s="5"/>
      <c r="I26" s="5"/>
      <c r="J26" s="22"/>
      <c r="K26" s="60"/>
      <c r="L26" s="79"/>
      <c r="M26" s="17"/>
      <c r="N26" s="15"/>
      <c r="O26" s="79"/>
      <c r="P26" s="81"/>
      <c r="Q26" s="5"/>
      <c r="R26" s="5"/>
      <c r="S26" s="17"/>
      <c r="T26" s="22"/>
      <c r="U26" s="79"/>
      <c r="V26" s="5">
        <v>1</v>
      </c>
      <c r="W26" s="138">
        <v>1</v>
      </c>
      <c r="X26" s="10"/>
      <c r="Y26" s="5"/>
      <c r="Z26" s="7"/>
      <c r="AA26" s="79"/>
      <c r="AB26" s="5">
        <v>1</v>
      </c>
      <c r="AC26" s="5">
        <v>1</v>
      </c>
      <c r="AD26" s="10"/>
      <c r="AE26" s="5"/>
      <c r="AF26" s="7"/>
      <c r="AG26" s="79"/>
      <c r="AH26" s="81"/>
      <c r="AI26" s="10"/>
      <c r="AJ26" s="7"/>
      <c r="AK26" s="53"/>
    </row>
    <row r="27" spans="1:37" s="35" customFormat="1" ht="17" customHeight="1">
      <c r="A27" s="161"/>
      <c r="B27" s="71" t="s">
        <v>120</v>
      </c>
      <c r="C27" s="33" t="s">
        <v>121</v>
      </c>
      <c r="D27" s="45"/>
      <c r="E27" s="22"/>
      <c r="F27" s="85"/>
      <c r="G27" s="5"/>
      <c r="H27" s="5"/>
      <c r="I27" s="5"/>
      <c r="J27" s="22"/>
      <c r="K27" s="60"/>
      <c r="L27" s="79"/>
      <c r="M27" s="17"/>
      <c r="N27" s="15"/>
      <c r="O27" s="79"/>
      <c r="P27" s="81"/>
      <c r="Q27" s="5"/>
      <c r="R27" s="5"/>
      <c r="S27" s="17"/>
      <c r="T27" s="22"/>
      <c r="U27" s="79"/>
      <c r="V27" s="5">
        <v>1</v>
      </c>
      <c r="W27" s="138">
        <v>1</v>
      </c>
      <c r="X27" s="10"/>
      <c r="Y27" s="5"/>
      <c r="Z27" s="7"/>
      <c r="AA27" s="79"/>
      <c r="AB27" s="5">
        <v>1</v>
      </c>
      <c r="AC27" s="5">
        <v>1</v>
      </c>
      <c r="AD27" s="10"/>
      <c r="AE27" s="5"/>
      <c r="AF27" s="7"/>
      <c r="AG27" s="79"/>
      <c r="AH27" s="81"/>
      <c r="AI27" s="10"/>
      <c r="AJ27" s="7"/>
      <c r="AK27" s="53"/>
    </row>
    <row r="28" spans="1:37" s="35" customFormat="1" ht="17" customHeight="1">
      <c r="A28" s="161"/>
      <c r="B28" s="71" t="s">
        <v>122</v>
      </c>
      <c r="C28" s="33" t="s">
        <v>123</v>
      </c>
      <c r="D28" s="45"/>
      <c r="E28" s="22"/>
      <c r="F28" s="85"/>
      <c r="G28" s="5"/>
      <c r="H28" s="5"/>
      <c r="I28" s="5"/>
      <c r="J28" s="22"/>
      <c r="K28" s="60"/>
      <c r="L28" s="79"/>
      <c r="M28" s="17"/>
      <c r="N28" s="15"/>
      <c r="O28" s="79"/>
      <c r="P28" s="81"/>
      <c r="Q28" s="5"/>
      <c r="R28" s="5"/>
      <c r="S28" s="17"/>
      <c r="T28" s="22"/>
      <c r="U28" s="79"/>
      <c r="V28" s="5">
        <v>1</v>
      </c>
      <c r="W28" s="138">
        <v>1</v>
      </c>
      <c r="X28" s="10"/>
      <c r="Y28" s="5"/>
      <c r="Z28" s="7"/>
      <c r="AA28" s="79"/>
      <c r="AB28" s="5">
        <v>1</v>
      </c>
      <c r="AC28" s="5">
        <v>1</v>
      </c>
      <c r="AD28" s="10"/>
      <c r="AE28" s="5"/>
      <c r="AF28" s="7"/>
      <c r="AG28" s="79"/>
      <c r="AH28" s="81"/>
      <c r="AI28" s="10"/>
      <c r="AJ28" s="7"/>
      <c r="AK28" s="53"/>
    </row>
    <row r="29" spans="1:37" s="35" customFormat="1" ht="17" customHeight="1">
      <c r="A29" s="162"/>
      <c r="B29" s="37"/>
      <c r="C29" s="42"/>
      <c r="D29" s="45"/>
      <c r="E29" s="22"/>
      <c r="F29" s="85"/>
      <c r="G29" s="5"/>
      <c r="H29" s="5"/>
      <c r="I29" s="5"/>
      <c r="J29" s="22"/>
      <c r="K29" s="60"/>
      <c r="L29" s="79"/>
      <c r="M29" s="17"/>
      <c r="N29" s="15"/>
      <c r="O29" s="79"/>
      <c r="P29" s="81"/>
      <c r="Q29" s="5"/>
      <c r="R29" s="5"/>
      <c r="S29" s="17"/>
      <c r="T29" s="22"/>
      <c r="U29" s="79"/>
      <c r="V29" s="5">
        <v>1</v>
      </c>
      <c r="W29" s="138">
        <v>1</v>
      </c>
      <c r="X29" s="10"/>
      <c r="Y29" s="5"/>
      <c r="Z29" s="7"/>
      <c r="AA29" s="79"/>
      <c r="AB29" s="5">
        <v>1</v>
      </c>
      <c r="AC29" s="5">
        <v>1</v>
      </c>
      <c r="AD29" s="10"/>
      <c r="AE29" s="5"/>
      <c r="AF29" s="7"/>
      <c r="AG29" s="79"/>
      <c r="AH29" s="81"/>
      <c r="AI29" s="10"/>
      <c r="AJ29" s="7"/>
      <c r="AK29" s="53"/>
    </row>
    <row r="30" spans="1:37" s="35" customFormat="1" ht="16" customHeight="1">
      <c r="A30" s="160" t="s">
        <v>125</v>
      </c>
      <c r="B30" s="36" t="s">
        <v>91</v>
      </c>
      <c r="C30" s="34" t="s">
        <v>92</v>
      </c>
      <c r="D30" s="45" t="s">
        <v>93</v>
      </c>
      <c r="E30" s="9"/>
      <c r="F30" s="85"/>
      <c r="G30" s="10"/>
      <c r="H30" s="10"/>
      <c r="I30" s="10"/>
      <c r="J30" s="9"/>
      <c r="K30" s="9"/>
      <c r="L30" s="79"/>
      <c r="M30" s="10"/>
      <c r="N30" s="7"/>
      <c r="O30" s="79"/>
      <c r="P30" s="81"/>
      <c r="Q30" s="11"/>
      <c r="R30" s="10"/>
      <c r="S30" s="10"/>
      <c r="T30" s="9"/>
      <c r="U30" s="79"/>
      <c r="V30" s="81"/>
      <c r="W30" s="11"/>
      <c r="X30" s="11"/>
      <c r="Y30" s="10"/>
      <c r="Z30" s="7"/>
      <c r="AA30" s="79"/>
      <c r="AB30" s="5">
        <v>1</v>
      </c>
      <c r="AC30" s="5">
        <v>1</v>
      </c>
      <c r="AD30" s="11"/>
      <c r="AE30" s="10"/>
      <c r="AF30" s="7"/>
      <c r="AG30" s="79"/>
      <c r="AH30" s="81"/>
      <c r="AI30" s="11"/>
      <c r="AJ30" s="7"/>
      <c r="AK30" s="53"/>
    </row>
    <row r="31" spans="1:37" s="35" customFormat="1" ht="16" customHeight="1">
      <c r="A31" s="161"/>
      <c r="B31" s="37" t="s">
        <v>94</v>
      </c>
      <c r="C31" s="42"/>
      <c r="D31" s="45" t="s">
        <v>90</v>
      </c>
      <c r="E31" s="9"/>
      <c r="F31" s="85"/>
      <c r="G31" s="10"/>
      <c r="H31" s="10"/>
      <c r="I31" s="10"/>
      <c r="J31" s="9"/>
      <c r="K31" s="9"/>
      <c r="L31" s="79"/>
      <c r="M31" s="10"/>
      <c r="N31" s="7"/>
      <c r="O31" s="79"/>
      <c r="P31" s="81"/>
      <c r="Q31" s="11"/>
      <c r="R31" s="10"/>
      <c r="S31" s="10"/>
      <c r="T31" s="9"/>
      <c r="U31" s="79"/>
      <c r="V31" s="81"/>
      <c r="W31" s="11"/>
      <c r="X31" s="11"/>
      <c r="Y31" s="10"/>
      <c r="Z31" s="7"/>
      <c r="AA31" s="79"/>
      <c r="AB31" s="5">
        <v>1</v>
      </c>
      <c r="AC31" s="5">
        <v>1</v>
      </c>
      <c r="AD31" s="11"/>
      <c r="AE31" s="10"/>
      <c r="AF31" s="7"/>
      <c r="AG31" s="79"/>
      <c r="AH31" s="81"/>
      <c r="AI31" s="11"/>
      <c r="AJ31" s="7"/>
      <c r="AK31" s="53"/>
    </row>
    <row r="32" spans="1:37" s="35" customFormat="1" ht="16" customHeight="1">
      <c r="A32" s="161"/>
      <c r="B32" s="37" t="s">
        <v>94</v>
      </c>
      <c r="C32" s="42"/>
      <c r="D32" s="45" t="s">
        <v>90</v>
      </c>
      <c r="E32" s="9"/>
      <c r="F32" s="85"/>
      <c r="G32" s="10"/>
      <c r="H32" s="10"/>
      <c r="I32" s="10"/>
      <c r="J32" s="9"/>
      <c r="K32" s="9"/>
      <c r="L32" s="79"/>
      <c r="M32" s="10"/>
      <c r="N32" s="7"/>
      <c r="O32" s="79"/>
      <c r="P32" s="81"/>
      <c r="Q32" s="11"/>
      <c r="R32" s="10"/>
      <c r="S32" s="10"/>
      <c r="T32" s="9"/>
      <c r="U32" s="79"/>
      <c r="V32" s="81"/>
      <c r="W32" s="11"/>
      <c r="X32" s="11"/>
      <c r="Y32" s="10"/>
      <c r="Z32" s="7"/>
      <c r="AA32" s="79"/>
      <c r="AB32" s="5">
        <v>1</v>
      </c>
      <c r="AC32" s="5">
        <v>1</v>
      </c>
      <c r="AD32" s="11"/>
      <c r="AE32" s="10"/>
      <c r="AF32" s="7"/>
      <c r="AG32" s="79"/>
      <c r="AH32" s="81"/>
      <c r="AI32" s="11"/>
      <c r="AJ32" s="7"/>
      <c r="AK32" s="53"/>
    </row>
    <row r="33" spans="1:37" s="35" customFormat="1" ht="16" customHeight="1">
      <c r="A33" s="161"/>
      <c r="B33" s="37" t="s">
        <v>94</v>
      </c>
      <c r="C33" s="42"/>
      <c r="D33" s="45" t="s">
        <v>89</v>
      </c>
      <c r="E33" s="9"/>
      <c r="F33" s="85"/>
      <c r="G33" s="10"/>
      <c r="H33" s="10"/>
      <c r="I33" s="10"/>
      <c r="J33" s="9"/>
      <c r="K33" s="9"/>
      <c r="L33" s="79"/>
      <c r="M33" s="10"/>
      <c r="N33" s="7"/>
      <c r="O33" s="79"/>
      <c r="P33" s="81"/>
      <c r="Q33" s="11"/>
      <c r="R33" s="10"/>
      <c r="S33" s="10"/>
      <c r="T33" s="9"/>
      <c r="U33" s="79"/>
      <c r="V33" s="81"/>
      <c r="W33" s="11"/>
      <c r="X33" s="11"/>
      <c r="Y33" s="10"/>
      <c r="Z33" s="7"/>
      <c r="AA33" s="79"/>
      <c r="AB33" s="5">
        <v>1</v>
      </c>
      <c r="AC33" s="5">
        <v>1</v>
      </c>
      <c r="AD33" s="11"/>
      <c r="AE33" s="10"/>
      <c r="AF33" s="7"/>
      <c r="AG33" s="79"/>
      <c r="AH33" s="81"/>
      <c r="AI33" s="11"/>
      <c r="AJ33" s="7"/>
      <c r="AK33" s="53"/>
    </row>
    <row r="34" spans="1:37" s="35" customFormat="1" ht="16" customHeight="1">
      <c r="A34" s="162"/>
      <c r="B34" s="37" t="s">
        <v>94</v>
      </c>
      <c r="C34" s="42"/>
      <c r="D34" s="45" t="s">
        <v>88</v>
      </c>
      <c r="E34" s="9"/>
      <c r="F34" s="85"/>
      <c r="G34" s="10"/>
      <c r="H34" s="10"/>
      <c r="I34" s="10"/>
      <c r="J34" s="9"/>
      <c r="K34" s="9"/>
      <c r="L34" s="79"/>
      <c r="M34" s="10"/>
      <c r="N34" s="7"/>
      <c r="O34" s="79"/>
      <c r="P34" s="81"/>
      <c r="Q34" s="11"/>
      <c r="R34" s="10"/>
      <c r="S34" s="10"/>
      <c r="T34" s="9"/>
      <c r="U34" s="79"/>
      <c r="V34" s="81"/>
      <c r="W34" s="11"/>
      <c r="X34" s="11"/>
      <c r="Y34" s="10"/>
      <c r="Z34" s="7"/>
      <c r="AA34" s="79"/>
      <c r="AB34" s="5">
        <v>1</v>
      </c>
      <c r="AC34" s="5">
        <v>1</v>
      </c>
      <c r="AD34" s="11"/>
      <c r="AE34" s="10"/>
      <c r="AF34" s="7"/>
      <c r="AG34" s="79"/>
      <c r="AH34" s="81"/>
      <c r="AI34" s="11"/>
      <c r="AJ34" s="7"/>
      <c r="AK34" s="53"/>
    </row>
    <row r="35" spans="1:37" s="35" customFormat="1">
      <c r="A35" s="39" t="s">
        <v>95</v>
      </c>
      <c r="B35" s="70" t="s">
        <v>87</v>
      </c>
      <c r="C35" s="33" t="s">
        <v>34</v>
      </c>
      <c r="D35" s="45" t="s">
        <v>53</v>
      </c>
      <c r="E35" s="22"/>
      <c r="F35" s="85"/>
      <c r="G35" s="5"/>
      <c r="H35" s="5"/>
      <c r="I35" s="5"/>
      <c r="J35" s="22"/>
      <c r="K35" s="9"/>
      <c r="L35" s="79"/>
      <c r="M35" s="17"/>
      <c r="N35" s="15"/>
      <c r="O35" s="81"/>
      <c r="P35" s="81"/>
      <c r="Q35" s="5"/>
      <c r="R35" s="5"/>
      <c r="S35" s="5"/>
      <c r="T35" s="22"/>
      <c r="U35" s="79"/>
      <c r="V35" s="81"/>
      <c r="W35" s="10"/>
      <c r="X35" s="10"/>
      <c r="Y35" s="10"/>
      <c r="Z35" s="7"/>
      <c r="AA35" s="45">
        <v>1</v>
      </c>
      <c r="AB35" s="5">
        <v>1</v>
      </c>
      <c r="AC35" s="5">
        <v>1</v>
      </c>
      <c r="AD35" s="10"/>
      <c r="AE35" s="10"/>
      <c r="AF35" s="7"/>
      <c r="AG35" s="79"/>
      <c r="AH35" s="81"/>
      <c r="AI35" s="10"/>
      <c r="AJ35" s="7"/>
      <c r="AK35" s="53"/>
    </row>
    <row r="36" spans="1:37" s="35" customFormat="1">
      <c r="A36" s="159" t="s">
        <v>96</v>
      </c>
      <c r="B36" s="37"/>
      <c r="C36" s="42">
        <v>1</v>
      </c>
      <c r="D36" s="45" t="s">
        <v>55</v>
      </c>
      <c r="E36" s="22"/>
      <c r="F36" s="85"/>
      <c r="G36" s="5"/>
      <c r="H36" s="5"/>
      <c r="I36" s="5"/>
      <c r="J36" s="22"/>
      <c r="K36" s="9"/>
      <c r="L36" s="79"/>
      <c r="M36" s="5"/>
      <c r="N36" s="15"/>
      <c r="O36" s="81"/>
      <c r="P36" s="81"/>
      <c r="Q36" s="5"/>
      <c r="R36" s="5"/>
      <c r="S36" s="5"/>
      <c r="T36" s="22"/>
      <c r="U36" s="79"/>
      <c r="V36" s="81"/>
      <c r="W36" s="10"/>
      <c r="X36" s="5"/>
      <c r="Y36" s="5"/>
      <c r="Z36" s="7"/>
      <c r="AA36" s="45">
        <v>1</v>
      </c>
      <c r="AB36" s="5">
        <v>1</v>
      </c>
      <c r="AC36" s="5">
        <v>1</v>
      </c>
      <c r="AD36" s="5"/>
      <c r="AE36" s="5"/>
      <c r="AF36" s="7"/>
      <c r="AG36" s="79"/>
      <c r="AH36" s="81"/>
      <c r="AI36" s="10"/>
      <c r="AJ36" s="7"/>
      <c r="AK36" s="53"/>
    </row>
    <row r="37" spans="1:37" s="35" customFormat="1" ht="16" customHeight="1">
      <c r="A37" s="159"/>
      <c r="B37" s="37"/>
      <c r="C37" s="42">
        <v>2</v>
      </c>
      <c r="D37" s="45" t="s">
        <v>54</v>
      </c>
      <c r="E37" s="9"/>
      <c r="F37" s="85"/>
      <c r="G37" s="10"/>
      <c r="H37" s="10"/>
      <c r="I37" s="10"/>
      <c r="J37" s="9"/>
      <c r="K37" s="9"/>
      <c r="L37" s="79"/>
      <c r="M37" s="10"/>
      <c r="N37" s="7"/>
      <c r="O37" s="81"/>
      <c r="P37" s="81"/>
      <c r="Q37" s="11"/>
      <c r="R37" s="10"/>
      <c r="S37" s="10"/>
      <c r="T37" s="9"/>
      <c r="U37" s="79"/>
      <c r="V37" s="81"/>
      <c r="W37" s="11"/>
      <c r="X37" s="11"/>
      <c r="Y37" s="10"/>
      <c r="Z37" s="7"/>
      <c r="AA37" s="79"/>
      <c r="AB37" s="5">
        <v>1</v>
      </c>
      <c r="AC37" s="5">
        <v>1</v>
      </c>
      <c r="AD37" s="11"/>
      <c r="AE37" s="10"/>
      <c r="AF37" s="7"/>
      <c r="AG37" s="79"/>
      <c r="AH37" s="81"/>
      <c r="AI37" s="11"/>
      <c r="AJ37" s="7"/>
      <c r="AK37" s="53"/>
    </row>
    <row r="38" spans="1:37" s="35" customFormat="1">
      <c r="A38" s="159"/>
      <c r="B38" s="37"/>
      <c r="C38" s="42">
        <v>3</v>
      </c>
      <c r="D38" s="45" t="s">
        <v>54</v>
      </c>
      <c r="E38" s="22"/>
      <c r="F38" s="85"/>
      <c r="G38" s="10"/>
      <c r="H38" s="10"/>
      <c r="I38" s="10"/>
      <c r="J38" s="9"/>
      <c r="K38" s="9"/>
      <c r="L38" s="79"/>
      <c r="M38" s="10"/>
      <c r="N38" s="7"/>
      <c r="O38" s="81"/>
      <c r="P38" s="81"/>
      <c r="Q38" s="10"/>
      <c r="R38" s="10"/>
      <c r="S38" s="10"/>
      <c r="T38" s="9"/>
      <c r="U38" s="79"/>
      <c r="V38" s="81"/>
      <c r="W38" s="10"/>
      <c r="X38" s="10"/>
      <c r="Y38" s="10"/>
      <c r="Z38" s="7"/>
      <c r="AA38" s="79"/>
      <c r="AB38" s="5">
        <v>1</v>
      </c>
      <c r="AC38" s="5">
        <v>1</v>
      </c>
      <c r="AD38" s="10"/>
      <c r="AE38" s="10"/>
      <c r="AF38" s="7"/>
      <c r="AG38" s="79"/>
      <c r="AH38" s="81"/>
      <c r="AI38" s="10"/>
      <c r="AJ38" s="7"/>
      <c r="AK38" s="53"/>
    </row>
    <row r="39" spans="1:37" s="35" customFormat="1" ht="16" customHeight="1">
      <c r="A39" s="159"/>
      <c r="B39" s="37"/>
      <c r="C39" s="42">
        <v>4</v>
      </c>
      <c r="D39" s="45" t="s">
        <v>54</v>
      </c>
      <c r="E39" s="9"/>
      <c r="F39" s="85"/>
      <c r="G39" s="10"/>
      <c r="H39" s="10"/>
      <c r="I39" s="10"/>
      <c r="J39" s="9"/>
      <c r="K39" s="9"/>
      <c r="L39" s="79"/>
      <c r="M39" s="10"/>
      <c r="N39" s="7"/>
      <c r="O39" s="82"/>
      <c r="P39" s="82"/>
      <c r="Q39" s="11"/>
      <c r="R39" s="10"/>
      <c r="S39" s="10"/>
      <c r="T39" s="9"/>
      <c r="U39" s="79"/>
      <c r="V39" s="81"/>
      <c r="W39" s="11"/>
      <c r="X39" s="11"/>
      <c r="Y39" s="10"/>
      <c r="Z39" s="7"/>
      <c r="AA39" s="79"/>
      <c r="AB39" s="5">
        <v>1</v>
      </c>
      <c r="AC39" s="5">
        <v>1</v>
      </c>
      <c r="AD39" s="11"/>
      <c r="AE39" s="10"/>
      <c r="AF39" s="7"/>
      <c r="AG39" s="79"/>
      <c r="AH39" s="81"/>
      <c r="AI39" s="11"/>
      <c r="AJ39" s="7"/>
      <c r="AK39" s="53"/>
    </row>
    <row r="40" spans="1:37" s="35" customFormat="1" ht="16" customHeight="1">
      <c r="A40" s="144" t="s">
        <v>56</v>
      </c>
      <c r="B40" s="51" t="s">
        <v>68</v>
      </c>
      <c r="C40" s="54">
        <v>1</v>
      </c>
      <c r="D40" s="69" t="s">
        <v>56</v>
      </c>
      <c r="E40" s="9"/>
      <c r="F40" s="85"/>
      <c r="G40" s="10">
        <v>200</v>
      </c>
      <c r="H40" s="10"/>
      <c r="I40" s="10">
        <v>60</v>
      </c>
      <c r="J40" s="9">
        <v>160</v>
      </c>
      <c r="K40" s="9">
        <v>50</v>
      </c>
      <c r="L40" s="14">
        <v>1</v>
      </c>
      <c r="M40" s="10">
        <v>20</v>
      </c>
      <c r="N40" s="7"/>
      <c r="O40" s="13">
        <v>1</v>
      </c>
      <c r="P40" s="10">
        <v>90</v>
      </c>
      <c r="Q40" s="10">
        <v>90</v>
      </c>
      <c r="R40" s="10">
        <v>40</v>
      </c>
      <c r="S40" s="10">
        <v>10</v>
      </c>
      <c r="T40" s="9"/>
      <c r="U40" s="45">
        <v>1</v>
      </c>
      <c r="V40" s="44">
        <v>60</v>
      </c>
      <c r="W40" s="11">
        <v>60</v>
      </c>
      <c r="X40" s="11">
        <v>60</v>
      </c>
      <c r="Y40" s="10">
        <v>5</v>
      </c>
      <c r="Z40" s="7"/>
      <c r="AA40" s="45">
        <v>1</v>
      </c>
      <c r="AB40" s="44">
        <v>50</v>
      </c>
      <c r="AC40" s="11">
        <v>50</v>
      </c>
      <c r="AD40" s="11">
        <v>50</v>
      </c>
      <c r="AE40" s="10">
        <v>50</v>
      </c>
      <c r="AF40" s="7"/>
      <c r="AG40" s="45">
        <v>1</v>
      </c>
      <c r="AH40" s="44">
        <v>25</v>
      </c>
      <c r="AI40" s="11">
        <v>25</v>
      </c>
      <c r="AJ40" s="7"/>
      <c r="AK40" s="53"/>
    </row>
    <row r="41" spans="1:37" s="35" customFormat="1" ht="16" customHeight="1">
      <c r="A41" s="145"/>
      <c r="B41" s="51" t="s">
        <v>68</v>
      </c>
      <c r="C41" s="54">
        <v>2</v>
      </c>
      <c r="D41" s="69" t="s">
        <v>56</v>
      </c>
      <c r="E41" s="9"/>
      <c r="F41" s="85"/>
      <c r="G41" s="10"/>
      <c r="H41" s="10"/>
      <c r="I41" s="10"/>
      <c r="J41" s="9"/>
      <c r="K41" s="9"/>
      <c r="L41" s="14">
        <v>1</v>
      </c>
      <c r="M41" s="10"/>
      <c r="N41" s="7"/>
      <c r="O41" s="13">
        <v>1</v>
      </c>
      <c r="P41" s="13"/>
      <c r="Q41" s="10"/>
      <c r="R41" s="10"/>
      <c r="S41" s="10"/>
      <c r="T41" s="9"/>
      <c r="U41" s="45">
        <v>1</v>
      </c>
      <c r="V41" s="44"/>
      <c r="W41" s="11"/>
      <c r="X41" s="11"/>
      <c r="Y41" s="10"/>
      <c r="Z41" s="7"/>
      <c r="AA41" s="45">
        <v>1</v>
      </c>
      <c r="AB41" s="44"/>
      <c r="AC41" s="11"/>
      <c r="AD41" s="11"/>
      <c r="AE41" s="10"/>
      <c r="AF41" s="7"/>
      <c r="AG41" s="45">
        <v>1</v>
      </c>
      <c r="AH41" s="44"/>
      <c r="AI41" s="11"/>
      <c r="AJ41" s="7"/>
      <c r="AK41" s="53"/>
    </row>
    <row r="42" spans="1:37" s="35" customFormat="1" ht="16" customHeight="1">
      <c r="A42" s="145"/>
      <c r="B42" s="51" t="s">
        <v>68</v>
      </c>
      <c r="C42" s="54">
        <v>3</v>
      </c>
      <c r="D42" s="69" t="s">
        <v>56</v>
      </c>
      <c r="E42" s="9"/>
      <c r="F42" s="85"/>
      <c r="G42" s="10"/>
      <c r="H42" s="10"/>
      <c r="I42" s="10"/>
      <c r="J42" s="9"/>
      <c r="K42" s="9"/>
      <c r="L42" s="14">
        <v>1</v>
      </c>
      <c r="M42" s="10"/>
      <c r="N42" s="7"/>
      <c r="O42" s="13">
        <v>1</v>
      </c>
      <c r="P42" s="13"/>
      <c r="Q42" s="11"/>
      <c r="R42" s="10"/>
      <c r="S42" s="10"/>
      <c r="T42" s="9"/>
      <c r="U42" s="45">
        <v>1</v>
      </c>
      <c r="V42" s="44"/>
      <c r="W42" s="11"/>
      <c r="X42" s="11"/>
      <c r="Y42" s="10"/>
      <c r="Z42" s="7"/>
      <c r="AA42" s="45">
        <v>1</v>
      </c>
      <c r="AB42" s="44"/>
      <c r="AC42" s="11"/>
      <c r="AD42" s="11"/>
      <c r="AE42" s="10"/>
      <c r="AF42" s="7"/>
      <c r="AG42" s="45">
        <v>1</v>
      </c>
      <c r="AH42" s="44"/>
      <c r="AI42" s="11"/>
      <c r="AJ42" s="7"/>
      <c r="AK42" s="53"/>
    </row>
    <row r="43" spans="1:37" s="35" customFormat="1" ht="16" customHeight="1">
      <c r="A43" s="145"/>
      <c r="B43" s="51" t="s">
        <v>68</v>
      </c>
      <c r="C43" s="54">
        <v>4</v>
      </c>
      <c r="D43" s="69" t="s">
        <v>56</v>
      </c>
      <c r="E43" s="9"/>
      <c r="F43" s="85"/>
      <c r="G43" s="10"/>
      <c r="H43" s="10"/>
      <c r="I43" s="10"/>
      <c r="J43" s="9"/>
      <c r="K43" s="9"/>
      <c r="L43" s="14">
        <v>1</v>
      </c>
      <c r="M43" s="10"/>
      <c r="N43" s="7"/>
      <c r="O43" s="13">
        <v>1</v>
      </c>
      <c r="P43" s="13"/>
      <c r="Q43" s="11"/>
      <c r="R43" s="10"/>
      <c r="S43" s="10"/>
      <c r="T43" s="9"/>
      <c r="U43" s="45">
        <v>1</v>
      </c>
      <c r="V43" s="44"/>
      <c r="W43" s="11"/>
      <c r="X43" s="11"/>
      <c r="Y43" s="10"/>
      <c r="Z43" s="7"/>
      <c r="AA43" s="45">
        <v>1</v>
      </c>
      <c r="AB43" s="44"/>
      <c r="AC43" s="11"/>
      <c r="AD43" s="11"/>
      <c r="AE43" s="10"/>
      <c r="AF43" s="7"/>
      <c r="AG43" s="45">
        <v>1</v>
      </c>
      <c r="AH43" s="44"/>
      <c r="AI43" s="11"/>
      <c r="AJ43" s="7"/>
      <c r="AK43" s="53"/>
    </row>
    <row r="44" spans="1:37" s="35" customFormat="1" ht="16" customHeight="1">
      <c r="A44" s="145"/>
      <c r="B44" s="51" t="s">
        <v>68</v>
      </c>
      <c r="C44" s="54">
        <v>5</v>
      </c>
      <c r="D44" s="69" t="s">
        <v>56</v>
      </c>
      <c r="E44" s="9"/>
      <c r="F44" s="85"/>
      <c r="G44" s="10"/>
      <c r="H44" s="10"/>
      <c r="I44" s="10"/>
      <c r="J44" s="9"/>
      <c r="K44" s="9"/>
      <c r="L44" s="14">
        <v>1</v>
      </c>
      <c r="M44" s="10"/>
      <c r="N44" s="7"/>
      <c r="O44" s="13">
        <v>1</v>
      </c>
      <c r="P44" s="13"/>
      <c r="Q44" s="11"/>
      <c r="R44" s="10"/>
      <c r="S44" s="10"/>
      <c r="T44" s="9"/>
      <c r="U44" s="45">
        <v>1</v>
      </c>
      <c r="V44" s="44"/>
      <c r="W44" s="11"/>
      <c r="X44" s="11"/>
      <c r="Y44" s="10"/>
      <c r="Z44" s="7"/>
      <c r="AA44" s="45">
        <v>1</v>
      </c>
      <c r="AB44" s="44"/>
      <c r="AC44" s="11"/>
      <c r="AD44" s="11"/>
      <c r="AE44" s="10"/>
      <c r="AF44" s="7"/>
      <c r="AG44" s="45">
        <v>1</v>
      </c>
      <c r="AH44" s="44"/>
      <c r="AI44" s="11"/>
      <c r="AJ44" s="7"/>
      <c r="AK44" s="53"/>
    </row>
    <row r="45" spans="1:37" s="35" customFormat="1" ht="16" customHeight="1">
      <c r="A45" s="145"/>
      <c r="B45" s="51" t="s">
        <v>68</v>
      </c>
      <c r="C45" s="54">
        <v>6</v>
      </c>
      <c r="D45" s="69" t="s">
        <v>56</v>
      </c>
      <c r="E45" s="9"/>
      <c r="F45" s="85"/>
      <c r="G45" s="10"/>
      <c r="H45" s="10"/>
      <c r="I45" s="10"/>
      <c r="J45" s="9"/>
      <c r="K45" s="9"/>
      <c r="L45" s="14">
        <v>1</v>
      </c>
      <c r="M45" s="10"/>
      <c r="N45" s="7"/>
      <c r="O45" s="13">
        <v>1</v>
      </c>
      <c r="P45" s="13"/>
      <c r="Q45" s="11"/>
      <c r="R45" s="10"/>
      <c r="S45" s="10"/>
      <c r="T45" s="9"/>
      <c r="U45" s="45">
        <v>1</v>
      </c>
      <c r="V45" s="44"/>
      <c r="W45" s="11"/>
      <c r="X45" s="11"/>
      <c r="Y45" s="10"/>
      <c r="Z45" s="7"/>
      <c r="AA45" s="45">
        <v>1</v>
      </c>
      <c r="AB45" s="44"/>
      <c r="AC45" s="11"/>
      <c r="AD45" s="11"/>
      <c r="AE45" s="10"/>
      <c r="AF45" s="7"/>
      <c r="AG45" s="45">
        <v>1</v>
      </c>
      <c r="AH45" s="44"/>
      <c r="AI45" s="11"/>
      <c r="AJ45" s="7"/>
      <c r="AK45" s="53"/>
    </row>
    <row r="46" spans="1:37" s="35" customFormat="1" ht="16" customHeight="1">
      <c r="A46" s="145"/>
      <c r="B46" s="51" t="s">
        <v>68</v>
      </c>
      <c r="C46" s="54">
        <v>7</v>
      </c>
      <c r="D46" s="69" t="s">
        <v>56</v>
      </c>
      <c r="E46" s="9"/>
      <c r="F46" s="85"/>
      <c r="G46" s="10"/>
      <c r="H46" s="10"/>
      <c r="I46" s="10"/>
      <c r="J46" s="9"/>
      <c r="K46" s="9"/>
      <c r="L46" s="14">
        <v>1</v>
      </c>
      <c r="M46" s="10"/>
      <c r="N46" s="7"/>
      <c r="O46" s="13">
        <v>1</v>
      </c>
      <c r="P46" s="13"/>
      <c r="Q46" s="11"/>
      <c r="R46" s="10"/>
      <c r="S46" s="10"/>
      <c r="T46" s="9"/>
      <c r="U46" s="45">
        <v>1</v>
      </c>
      <c r="V46" s="44"/>
      <c r="W46" s="11"/>
      <c r="X46" s="11"/>
      <c r="Y46" s="10"/>
      <c r="Z46" s="7"/>
      <c r="AA46" s="45">
        <v>1</v>
      </c>
      <c r="AB46" s="44"/>
      <c r="AC46" s="11"/>
      <c r="AD46" s="11"/>
      <c r="AE46" s="10"/>
      <c r="AF46" s="7"/>
      <c r="AG46" s="45">
        <v>1</v>
      </c>
      <c r="AH46" s="44"/>
      <c r="AI46" s="11"/>
      <c r="AJ46" s="7"/>
      <c r="AK46" s="53"/>
    </row>
    <row r="47" spans="1:37" s="35" customFormat="1" ht="16" customHeight="1">
      <c r="A47" s="145"/>
      <c r="B47" s="51" t="s">
        <v>68</v>
      </c>
      <c r="C47" s="54">
        <v>8</v>
      </c>
      <c r="D47" s="69" t="s">
        <v>56</v>
      </c>
      <c r="E47" s="9"/>
      <c r="F47" s="85"/>
      <c r="G47" s="10"/>
      <c r="H47" s="10"/>
      <c r="I47" s="10"/>
      <c r="J47" s="9"/>
      <c r="K47" s="9"/>
      <c r="L47" s="14">
        <v>1</v>
      </c>
      <c r="M47" s="10"/>
      <c r="N47" s="7"/>
      <c r="O47" s="13">
        <v>1</v>
      </c>
      <c r="P47" s="13"/>
      <c r="Q47" s="11"/>
      <c r="R47" s="10"/>
      <c r="S47" s="10"/>
      <c r="T47" s="9"/>
      <c r="U47" s="45">
        <v>1</v>
      </c>
      <c r="V47" s="44"/>
      <c r="W47" s="11"/>
      <c r="X47" s="11"/>
      <c r="Y47" s="10"/>
      <c r="Z47" s="7"/>
      <c r="AA47" s="45">
        <v>1</v>
      </c>
      <c r="AB47" s="44"/>
      <c r="AC47" s="11"/>
      <c r="AD47" s="11"/>
      <c r="AE47" s="10"/>
      <c r="AF47" s="7"/>
      <c r="AG47" s="45">
        <v>1</v>
      </c>
      <c r="AH47" s="44"/>
      <c r="AI47" s="11"/>
      <c r="AJ47" s="7"/>
      <c r="AK47" s="53"/>
    </row>
    <row r="48" spans="1:37" s="35" customFormat="1" ht="16" customHeight="1">
      <c r="A48" s="145"/>
      <c r="B48" s="51" t="s">
        <v>68</v>
      </c>
      <c r="C48" s="54">
        <v>9</v>
      </c>
      <c r="D48" s="69" t="s">
        <v>56</v>
      </c>
      <c r="E48" s="9"/>
      <c r="F48" s="85"/>
      <c r="G48" s="10"/>
      <c r="H48" s="10"/>
      <c r="I48" s="10"/>
      <c r="J48" s="9"/>
      <c r="K48" s="9"/>
      <c r="L48" s="80"/>
      <c r="M48" s="10"/>
      <c r="N48" s="7"/>
      <c r="O48" s="82"/>
      <c r="P48" s="82"/>
      <c r="Q48" s="11"/>
      <c r="R48" s="10"/>
      <c r="S48" s="10"/>
      <c r="T48" s="9"/>
      <c r="U48" s="79"/>
      <c r="V48" s="11"/>
      <c r="W48" s="11"/>
      <c r="X48" s="11"/>
      <c r="Y48" s="10"/>
      <c r="Z48" s="7"/>
      <c r="AA48" s="79"/>
      <c r="AB48" s="11"/>
      <c r="AC48" s="11"/>
      <c r="AD48" s="11"/>
      <c r="AE48" s="10"/>
      <c r="AF48" s="7"/>
      <c r="AG48" s="79"/>
      <c r="AH48" s="81"/>
      <c r="AI48" s="11"/>
      <c r="AJ48" s="7"/>
      <c r="AK48" s="53"/>
    </row>
    <row r="49" spans="1:37" s="35" customFormat="1" ht="16" customHeight="1">
      <c r="A49" s="145"/>
      <c r="B49" s="51" t="s">
        <v>68</v>
      </c>
      <c r="C49" s="54">
        <v>10</v>
      </c>
      <c r="D49" s="69" t="s">
        <v>56</v>
      </c>
      <c r="E49" s="9"/>
      <c r="F49" s="85"/>
      <c r="G49" s="10"/>
      <c r="H49" s="10"/>
      <c r="I49" s="10"/>
      <c r="J49" s="9"/>
      <c r="K49" s="9"/>
      <c r="L49" s="80"/>
      <c r="M49" s="10"/>
      <c r="N49" s="7"/>
      <c r="O49" s="82"/>
      <c r="P49" s="82"/>
      <c r="Q49" s="11"/>
      <c r="R49" s="10"/>
      <c r="S49" s="10"/>
      <c r="T49" s="9"/>
      <c r="U49" s="79"/>
      <c r="V49" s="11"/>
      <c r="W49" s="11"/>
      <c r="X49" s="11"/>
      <c r="Y49" s="10"/>
      <c r="Z49" s="7"/>
      <c r="AA49" s="79"/>
      <c r="AB49" s="11"/>
      <c r="AC49" s="11"/>
      <c r="AD49" s="11"/>
      <c r="AE49" s="10"/>
      <c r="AF49" s="7"/>
      <c r="AG49" s="79"/>
      <c r="AH49" s="81"/>
      <c r="AI49" s="11"/>
      <c r="AJ49" s="7"/>
      <c r="AK49" s="53"/>
    </row>
    <row r="50" spans="1:37" s="35" customFormat="1" ht="16" customHeight="1">
      <c r="A50" s="145"/>
      <c r="B50" s="51" t="s">
        <v>68</v>
      </c>
      <c r="C50" s="54">
        <v>11</v>
      </c>
      <c r="D50" s="69" t="s">
        <v>56</v>
      </c>
      <c r="E50" s="9"/>
      <c r="F50" s="85"/>
      <c r="G50" s="10"/>
      <c r="H50" s="10"/>
      <c r="I50" s="10"/>
      <c r="J50" s="9"/>
      <c r="K50" s="9"/>
      <c r="L50" s="80"/>
      <c r="M50" s="10"/>
      <c r="N50" s="7"/>
      <c r="O50" s="82"/>
      <c r="P50" s="82"/>
      <c r="Q50" s="11"/>
      <c r="R50" s="10"/>
      <c r="S50" s="10"/>
      <c r="T50" s="9"/>
      <c r="U50" s="79"/>
      <c r="V50" s="11"/>
      <c r="W50" s="11"/>
      <c r="X50" s="11"/>
      <c r="Y50" s="10"/>
      <c r="Z50" s="7"/>
      <c r="AA50" s="79"/>
      <c r="AB50" s="11"/>
      <c r="AC50" s="11"/>
      <c r="AD50" s="11"/>
      <c r="AE50" s="10"/>
      <c r="AF50" s="7"/>
      <c r="AG50" s="79"/>
      <c r="AH50" s="81"/>
      <c r="AI50" s="11"/>
      <c r="AJ50" s="7"/>
      <c r="AK50" s="53"/>
    </row>
    <row r="51" spans="1:37" s="35" customFormat="1" ht="16" customHeight="1">
      <c r="A51" s="145"/>
      <c r="B51" s="51" t="s">
        <v>68</v>
      </c>
      <c r="C51" s="54">
        <v>12</v>
      </c>
      <c r="D51" s="69" t="s">
        <v>56</v>
      </c>
      <c r="E51" s="9"/>
      <c r="F51" s="85"/>
      <c r="G51" s="10"/>
      <c r="H51" s="10"/>
      <c r="I51" s="10"/>
      <c r="J51" s="9"/>
      <c r="K51" s="9"/>
      <c r="L51" s="80"/>
      <c r="M51" s="10"/>
      <c r="N51" s="7"/>
      <c r="O51" s="82"/>
      <c r="P51" s="82"/>
      <c r="Q51" s="11"/>
      <c r="R51" s="10"/>
      <c r="S51" s="10"/>
      <c r="T51" s="9"/>
      <c r="U51" s="79"/>
      <c r="V51" s="11"/>
      <c r="W51" s="11"/>
      <c r="X51" s="11"/>
      <c r="Y51" s="10"/>
      <c r="Z51" s="7"/>
      <c r="AA51" s="79"/>
      <c r="AB51" s="11"/>
      <c r="AC51" s="11"/>
      <c r="AD51" s="11"/>
      <c r="AE51" s="10"/>
      <c r="AF51" s="7"/>
      <c r="AG51" s="79"/>
      <c r="AH51" s="81"/>
      <c r="AI51" s="11"/>
      <c r="AJ51" s="7"/>
      <c r="AK51" s="53"/>
    </row>
    <row r="52" spans="1:37" s="35" customFormat="1" ht="16" customHeight="1">
      <c r="A52" s="145"/>
      <c r="B52" s="51" t="s">
        <v>68</v>
      </c>
      <c r="C52" s="54">
        <v>13</v>
      </c>
      <c r="D52" s="69" t="s">
        <v>56</v>
      </c>
      <c r="E52" s="9"/>
      <c r="F52" s="85"/>
      <c r="G52" s="10"/>
      <c r="H52" s="10"/>
      <c r="I52" s="10"/>
      <c r="J52" s="9"/>
      <c r="K52" s="9"/>
      <c r="L52" s="80"/>
      <c r="M52" s="10"/>
      <c r="N52" s="7"/>
      <c r="O52" s="82"/>
      <c r="P52" s="82"/>
      <c r="Q52" s="11"/>
      <c r="R52" s="10"/>
      <c r="S52" s="10"/>
      <c r="T52" s="9"/>
      <c r="U52" s="79"/>
      <c r="V52" s="11"/>
      <c r="W52" s="11"/>
      <c r="X52" s="11"/>
      <c r="Y52" s="10"/>
      <c r="Z52" s="7"/>
      <c r="AA52" s="79"/>
      <c r="AB52" s="11"/>
      <c r="AC52" s="11"/>
      <c r="AD52" s="11"/>
      <c r="AE52" s="10"/>
      <c r="AF52" s="7"/>
      <c r="AG52" s="79"/>
      <c r="AH52" s="81"/>
      <c r="AI52" s="11"/>
      <c r="AJ52" s="7"/>
      <c r="AK52" s="53"/>
    </row>
    <row r="53" spans="1:37" s="35" customFormat="1" ht="16" customHeight="1">
      <c r="A53" s="145"/>
      <c r="B53" s="51" t="s">
        <v>68</v>
      </c>
      <c r="C53" s="54">
        <v>14</v>
      </c>
      <c r="D53" s="69" t="s">
        <v>56</v>
      </c>
      <c r="E53" s="9"/>
      <c r="F53" s="85"/>
      <c r="G53" s="10"/>
      <c r="H53" s="10"/>
      <c r="I53" s="10"/>
      <c r="J53" s="9"/>
      <c r="K53" s="9"/>
      <c r="L53" s="80"/>
      <c r="M53" s="10"/>
      <c r="N53" s="7"/>
      <c r="O53" s="82"/>
      <c r="P53" s="82"/>
      <c r="Q53" s="11"/>
      <c r="R53" s="10"/>
      <c r="S53" s="10"/>
      <c r="T53" s="9"/>
      <c r="U53" s="79"/>
      <c r="V53" s="11"/>
      <c r="W53" s="11"/>
      <c r="X53" s="11"/>
      <c r="Y53" s="10"/>
      <c r="Z53" s="7"/>
      <c r="AA53" s="79"/>
      <c r="AB53" s="11"/>
      <c r="AC53" s="11"/>
      <c r="AD53" s="11"/>
      <c r="AE53" s="10"/>
      <c r="AF53" s="7"/>
      <c r="AG53" s="79"/>
      <c r="AH53" s="81"/>
      <c r="AI53" s="11"/>
      <c r="AJ53" s="7"/>
      <c r="AK53" s="53"/>
    </row>
    <row r="54" spans="1:37" s="35" customFormat="1" ht="16" customHeight="1">
      <c r="A54" s="145"/>
      <c r="B54" s="51" t="s">
        <v>68</v>
      </c>
      <c r="C54" s="54">
        <v>15</v>
      </c>
      <c r="D54" s="69" t="s">
        <v>56</v>
      </c>
      <c r="E54" s="9"/>
      <c r="F54" s="85"/>
      <c r="G54" s="10"/>
      <c r="H54" s="10"/>
      <c r="I54" s="10"/>
      <c r="J54" s="9"/>
      <c r="K54" s="9"/>
      <c r="L54" s="80"/>
      <c r="M54" s="10"/>
      <c r="N54" s="7"/>
      <c r="O54" s="82"/>
      <c r="P54" s="82"/>
      <c r="Q54" s="11"/>
      <c r="R54" s="10"/>
      <c r="S54" s="10"/>
      <c r="T54" s="9"/>
      <c r="U54" s="79"/>
      <c r="V54" s="11"/>
      <c r="W54" s="11"/>
      <c r="X54" s="11"/>
      <c r="Y54" s="10"/>
      <c r="Z54" s="7"/>
      <c r="AA54" s="79"/>
      <c r="AB54" s="11"/>
      <c r="AC54" s="11"/>
      <c r="AD54" s="11"/>
      <c r="AE54" s="10"/>
      <c r="AF54" s="7"/>
      <c r="AG54" s="79"/>
      <c r="AH54" s="81"/>
      <c r="AI54" s="11"/>
      <c r="AJ54" s="7"/>
      <c r="AK54" s="53"/>
    </row>
    <row r="55" spans="1:37" s="35" customFormat="1" ht="16" customHeight="1">
      <c r="A55" s="145"/>
      <c r="B55" s="51" t="s">
        <v>68</v>
      </c>
      <c r="C55" s="54">
        <v>16</v>
      </c>
      <c r="D55" s="69" t="s">
        <v>56</v>
      </c>
      <c r="E55" s="9"/>
      <c r="F55" s="85"/>
      <c r="G55" s="10"/>
      <c r="H55" s="10"/>
      <c r="I55" s="10"/>
      <c r="J55" s="9"/>
      <c r="K55" s="9"/>
      <c r="L55" s="80"/>
      <c r="M55" s="10"/>
      <c r="N55" s="7"/>
      <c r="O55" s="82"/>
      <c r="P55" s="82"/>
      <c r="Q55" s="11"/>
      <c r="R55" s="10"/>
      <c r="S55" s="10"/>
      <c r="T55" s="9"/>
      <c r="U55" s="79"/>
      <c r="V55" s="11"/>
      <c r="W55" s="11"/>
      <c r="X55" s="11"/>
      <c r="Y55" s="10"/>
      <c r="Z55" s="7"/>
      <c r="AA55" s="79"/>
      <c r="AB55" s="11"/>
      <c r="AC55" s="11"/>
      <c r="AD55" s="11"/>
      <c r="AE55" s="10"/>
      <c r="AF55" s="7"/>
      <c r="AG55" s="79"/>
      <c r="AH55" s="81"/>
      <c r="AI55" s="11"/>
      <c r="AJ55" s="7"/>
      <c r="AK55" s="53"/>
    </row>
    <row r="56" spans="1:37" s="35" customFormat="1" ht="16" customHeight="1">
      <c r="A56" s="146"/>
      <c r="B56" s="51" t="s">
        <v>68</v>
      </c>
      <c r="C56" s="55">
        <v>17</v>
      </c>
      <c r="D56" s="69" t="s">
        <v>56</v>
      </c>
      <c r="E56" s="9"/>
      <c r="F56" s="85"/>
      <c r="G56" s="10"/>
      <c r="H56" s="10"/>
      <c r="I56" s="10"/>
      <c r="J56" s="9"/>
      <c r="K56" s="9"/>
      <c r="L56" s="80"/>
      <c r="M56" s="10"/>
      <c r="N56" s="7"/>
      <c r="O56" s="82"/>
      <c r="P56" s="82"/>
      <c r="Q56" s="11"/>
      <c r="R56" s="10"/>
      <c r="S56" s="10"/>
      <c r="T56" s="9"/>
      <c r="U56" s="79"/>
      <c r="V56" s="11"/>
      <c r="W56" s="11"/>
      <c r="X56" s="11"/>
      <c r="Y56" s="10"/>
      <c r="Z56" s="7"/>
      <c r="AA56" s="79"/>
      <c r="AB56" s="11"/>
      <c r="AC56" s="11"/>
      <c r="AD56" s="11"/>
      <c r="AE56" s="10"/>
      <c r="AF56" s="7"/>
      <c r="AG56" s="79"/>
      <c r="AH56" s="81"/>
      <c r="AI56" s="11"/>
      <c r="AJ56" s="7"/>
      <c r="AK56" s="53"/>
    </row>
    <row r="57" spans="1:37" s="35" customFormat="1" ht="16" customHeight="1">
      <c r="A57" s="144" t="s">
        <v>98</v>
      </c>
      <c r="B57" s="73" t="s">
        <v>67</v>
      </c>
      <c r="C57" s="74">
        <v>1</v>
      </c>
      <c r="D57" s="69" t="s">
        <v>99</v>
      </c>
      <c r="E57" s="9"/>
      <c r="F57" s="84" t="s">
        <v>109</v>
      </c>
      <c r="G57" s="10"/>
      <c r="H57" s="10"/>
      <c r="I57" s="10"/>
      <c r="J57" s="9"/>
      <c r="K57" s="9"/>
      <c r="L57" s="80"/>
      <c r="M57" s="10"/>
      <c r="N57" s="7"/>
      <c r="O57" s="76">
        <v>1</v>
      </c>
      <c r="P57" s="76"/>
      <c r="Q57" s="11"/>
      <c r="R57" s="10"/>
      <c r="S57" s="10"/>
      <c r="T57" s="9"/>
      <c r="U57" s="75">
        <v>1</v>
      </c>
      <c r="V57" s="11"/>
      <c r="W57" s="11"/>
      <c r="X57" s="11"/>
      <c r="Y57" s="10"/>
      <c r="Z57" s="7"/>
      <c r="AA57" s="79"/>
      <c r="AB57" s="11"/>
      <c r="AC57" s="11"/>
      <c r="AD57" s="11"/>
      <c r="AE57" s="10"/>
      <c r="AF57" s="7"/>
      <c r="AG57" s="79"/>
      <c r="AH57" s="81"/>
      <c r="AI57" s="11"/>
      <c r="AJ57" s="7"/>
      <c r="AK57" s="53"/>
    </row>
    <row r="58" spans="1:37" s="35" customFormat="1" ht="16" customHeight="1">
      <c r="A58" s="146"/>
      <c r="B58" s="73" t="s">
        <v>67</v>
      </c>
      <c r="C58" s="74">
        <v>1</v>
      </c>
      <c r="D58" s="69" t="s">
        <v>100</v>
      </c>
      <c r="E58" s="9"/>
      <c r="F58" s="84" t="s">
        <v>109</v>
      </c>
      <c r="G58" s="10"/>
      <c r="H58" s="10"/>
      <c r="I58" s="10"/>
      <c r="J58" s="9"/>
      <c r="K58" s="9"/>
      <c r="L58" s="80"/>
      <c r="M58" s="10"/>
      <c r="N58" s="7"/>
      <c r="O58" s="82"/>
      <c r="P58" s="82"/>
      <c r="Q58" s="11"/>
      <c r="R58" s="10"/>
      <c r="S58" s="10"/>
      <c r="T58" s="9"/>
      <c r="U58" s="79"/>
      <c r="V58" s="11"/>
      <c r="W58" s="11"/>
      <c r="X58" s="11"/>
      <c r="Y58" s="10"/>
      <c r="Z58" s="7"/>
      <c r="AA58" s="75">
        <v>1</v>
      </c>
      <c r="AB58" s="11"/>
      <c r="AC58" s="11"/>
      <c r="AD58" s="11"/>
      <c r="AE58" s="10"/>
      <c r="AF58" s="7"/>
      <c r="AG58" s="79"/>
      <c r="AH58" s="81"/>
      <c r="AI58" s="11"/>
      <c r="AJ58" s="7"/>
      <c r="AK58" s="53"/>
    </row>
    <row r="59" spans="1:37" s="35" customFormat="1">
      <c r="A59" s="16" t="s">
        <v>61</v>
      </c>
      <c r="B59" s="52" t="s">
        <v>68</v>
      </c>
      <c r="C59" s="54">
        <v>1</v>
      </c>
      <c r="D59" s="45" t="s">
        <v>57</v>
      </c>
      <c r="E59" s="22"/>
      <c r="F59" s="85"/>
      <c r="G59" s="10">
        <v>18</v>
      </c>
      <c r="H59" s="10"/>
      <c r="I59" s="10">
        <v>18</v>
      </c>
      <c r="J59" s="9"/>
      <c r="K59" s="9"/>
      <c r="L59" s="45">
        <v>1</v>
      </c>
      <c r="M59" s="10"/>
      <c r="N59" s="7"/>
      <c r="O59" s="44">
        <v>1</v>
      </c>
      <c r="P59" s="44"/>
      <c r="Q59" s="10"/>
      <c r="R59" s="10"/>
      <c r="S59" s="10"/>
      <c r="T59" s="9"/>
      <c r="U59" s="45">
        <v>1</v>
      </c>
      <c r="V59" s="44">
        <v>18</v>
      </c>
      <c r="W59" s="10">
        <v>18</v>
      </c>
      <c r="X59" s="10"/>
      <c r="Y59" s="10"/>
      <c r="Z59" s="7"/>
      <c r="AA59" s="45">
        <v>1</v>
      </c>
      <c r="AB59" s="44">
        <v>18</v>
      </c>
      <c r="AC59" s="10">
        <v>18</v>
      </c>
      <c r="AD59" s="10"/>
      <c r="AE59" s="10"/>
      <c r="AF59" s="7"/>
      <c r="AG59" s="79"/>
      <c r="AH59" s="81"/>
      <c r="AI59" s="10"/>
      <c r="AJ59" s="7"/>
      <c r="AK59" s="53"/>
    </row>
    <row r="60" spans="1:37" s="35" customFormat="1" ht="16" customHeight="1">
      <c r="A60" s="16" t="s">
        <v>62</v>
      </c>
      <c r="B60" s="52" t="s">
        <v>68</v>
      </c>
      <c r="C60" s="54">
        <v>1</v>
      </c>
      <c r="D60" s="45" t="s">
        <v>58</v>
      </c>
      <c r="E60" s="9"/>
      <c r="F60" s="85"/>
      <c r="G60" s="10"/>
      <c r="H60" s="10"/>
      <c r="I60" s="10"/>
      <c r="J60" s="9"/>
      <c r="K60" s="9"/>
      <c r="L60" s="45">
        <v>2</v>
      </c>
      <c r="M60" s="10"/>
      <c r="N60" s="7"/>
      <c r="O60" s="44">
        <v>2</v>
      </c>
      <c r="P60" s="44"/>
      <c r="Q60" s="11"/>
      <c r="R60" s="10"/>
      <c r="S60" s="10"/>
      <c r="T60" s="9"/>
      <c r="U60" s="45">
        <v>2</v>
      </c>
      <c r="V60" s="44"/>
      <c r="W60" s="11"/>
      <c r="X60" s="11"/>
      <c r="Y60" s="10"/>
      <c r="Z60" s="7"/>
      <c r="AA60" s="45">
        <v>2</v>
      </c>
      <c r="AB60" s="44"/>
      <c r="AC60" s="11"/>
      <c r="AD60" s="11"/>
      <c r="AE60" s="10"/>
      <c r="AF60" s="7"/>
      <c r="AG60" s="45">
        <v>2</v>
      </c>
      <c r="AH60" s="44"/>
      <c r="AI60" s="11"/>
      <c r="AJ60" s="7"/>
      <c r="AK60" s="53"/>
    </row>
    <row r="61" spans="1:37" s="35" customFormat="1">
      <c r="A61" s="16" t="s">
        <v>63</v>
      </c>
      <c r="B61" s="52" t="s">
        <v>68</v>
      </c>
      <c r="C61" s="54">
        <v>1</v>
      </c>
      <c r="D61" s="45" t="s">
        <v>59</v>
      </c>
      <c r="E61" s="78"/>
      <c r="F61" s="86"/>
      <c r="G61" s="10"/>
      <c r="H61" s="10"/>
      <c r="I61" s="10"/>
      <c r="J61" s="9"/>
      <c r="K61" s="9"/>
      <c r="L61" s="45">
        <v>2</v>
      </c>
      <c r="M61" s="10"/>
      <c r="N61" s="7"/>
      <c r="O61" s="44">
        <v>2</v>
      </c>
      <c r="P61" s="44"/>
      <c r="Q61" s="5"/>
      <c r="R61" s="10"/>
      <c r="S61" s="10"/>
      <c r="T61" s="9"/>
      <c r="U61" s="45">
        <v>2</v>
      </c>
      <c r="V61" s="44"/>
      <c r="W61" s="5"/>
      <c r="X61" s="10"/>
      <c r="Y61" s="10"/>
      <c r="Z61" s="7"/>
      <c r="AA61" s="45">
        <v>2</v>
      </c>
      <c r="AB61" s="44"/>
      <c r="AC61" s="5"/>
      <c r="AD61" s="10"/>
      <c r="AE61" s="10"/>
      <c r="AF61" s="7"/>
      <c r="AG61" s="79"/>
      <c r="AH61" s="81"/>
      <c r="AI61" s="5"/>
      <c r="AJ61" s="7"/>
      <c r="AK61" s="53"/>
    </row>
    <row r="62" spans="1:37" s="35" customFormat="1">
      <c r="A62" s="16" t="s">
        <v>64</v>
      </c>
      <c r="B62" s="52" t="s">
        <v>68</v>
      </c>
      <c r="C62" s="54">
        <v>1</v>
      </c>
      <c r="D62" s="45" t="s">
        <v>60</v>
      </c>
      <c r="E62" s="22"/>
      <c r="F62" s="85"/>
      <c r="G62" s="10"/>
      <c r="H62" s="10"/>
      <c r="I62" s="10"/>
      <c r="J62" s="9"/>
      <c r="K62" s="9"/>
      <c r="L62" s="45">
        <v>2</v>
      </c>
      <c r="M62" s="10"/>
      <c r="N62" s="7"/>
      <c r="O62" s="44">
        <v>2</v>
      </c>
      <c r="P62" s="44"/>
      <c r="Q62" s="10"/>
      <c r="R62" s="10"/>
      <c r="S62" s="10"/>
      <c r="T62" s="9"/>
      <c r="U62" s="45">
        <v>2</v>
      </c>
      <c r="V62" s="44"/>
      <c r="W62" s="10"/>
      <c r="X62" s="10"/>
      <c r="Y62" s="10"/>
      <c r="Z62" s="7"/>
      <c r="AA62" s="45">
        <v>2</v>
      </c>
      <c r="AB62" s="44"/>
      <c r="AC62" s="10"/>
      <c r="AD62" s="10"/>
      <c r="AE62" s="10"/>
      <c r="AF62" s="7"/>
      <c r="AG62" s="79"/>
      <c r="AH62" s="81"/>
      <c r="AI62" s="10"/>
      <c r="AJ62" s="7"/>
      <c r="AK62" s="53"/>
    </row>
    <row r="63" spans="1:37" s="35" customFormat="1">
      <c r="A63" s="16" t="s">
        <v>65</v>
      </c>
      <c r="B63" s="52" t="s">
        <v>68</v>
      </c>
      <c r="C63" s="54">
        <v>1</v>
      </c>
      <c r="D63" s="45" t="s">
        <v>66</v>
      </c>
      <c r="E63" s="9"/>
      <c r="F63" s="85"/>
      <c r="G63" s="10"/>
      <c r="H63" s="10"/>
      <c r="I63" s="10"/>
      <c r="J63" s="9"/>
      <c r="K63" s="9"/>
      <c r="L63" s="45">
        <v>2</v>
      </c>
      <c r="M63" s="10"/>
      <c r="N63" s="12"/>
      <c r="O63" s="44">
        <v>2</v>
      </c>
      <c r="P63" s="44"/>
      <c r="Q63" s="10"/>
      <c r="R63" s="10"/>
      <c r="S63" s="10"/>
      <c r="T63" s="60"/>
      <c r="U63" s="45">
        <v>2</v>
      </c>
      <c r="V63" s="44"/>
      <c r="W63" s="10"/>
      <c r="X63" s="10"/>
      <c r="Y63" s="10"/>
      <c r="Z63" s="12"/>
      <c r="AA63" s="45">
        <v>2</v>
      </c>
      <c r="AB63" s="44"/>
      <c r="AC63" s="10"/>
      <c r="AD63" s="10"/>
      <c r="AE63" s="10"/>
      <c r="AF63" s="12"/>
      <c r="AG63" s="79"/>
      <c r="AH63" s="81"/>
      <c r="AI63" s="10"/>
      <c r="AJ63" s="12"/>
      <c r="AK63" s="53"/>
    </row>
    <row r="64" spans="1:37" s="35" customFormat="1">
      <c r="A64" s="49"/>
      <c r="B64" s="50"/>
      <c r="C64" s="56"/>
      <c r="D64" s="16"/>
      <c r="E64" s="9"/>
      <c r="F64" s="85"/>
      <c r="G64" s="10"/>
      <c r="H64" s="10"/>
      <c r="I64" s="10"/>
      <c r="J64" s="9"/>
      <c r="K64" s="9"/>
      <c r="L64" s="14">
        <v>4</v>
      </c>
      <c r="M64" s="10"/>
      <c r="N64" s="12"/>
      <c r="O64" s="44">
        <v>4</v>
      </c>
      <c r="P64" s="44"/>
      <c r="Q64" s="10"/>
      <c r="R64" s="10"/>
      <c r="S64" s="10"/>
      <c r="T64" s="60"/>
      <c r="U64" s="45">
        <v>4</v>
      </c>
      <c r="V64" s="44"/>
      <c r="W64" s="10"/>
      <c r="X64" s="10"/>
      <c r="Y64" s="10"/>
      <c r="Z64" s="12"/>
      <c r="AA64" s="45">
        <v>4</v>
      </c>
      <c r="AB64" s="44"/>
      <c r="AC64" s="10"/>
      <c r="AD64" s="10"/>
      <c r="AE64" s="10"/>
      <c r="AF64" s="12"/>
      <c r="AG64" s="45">
        <v>4</v>
      </c>
      <c r="AH64" s="44"/>
      <c r="AI64" s="10"/>
      <c r="AJ64" s="12"/>
      <c r="AK64" s="53"/>
    </row>
    <row r="65" spans="1:37" s="35" customFormat="1">
      <c r="A65" s="16" t="s">
        <v>268</v>
      </c>
      <c r="B65" s="10"/>
      <c r="C65" s="7"/>
      <c r="D65" s="16" t="s">
        <v>267</v>
      </c>
      <c r="E65" s="9"/>
      <c r="F65" s="85"/>
      <c r="G65" s="10">
        <v>32</v>
      </c>
      <c r="H65" s="10"/>
      <c r="I65" s="10"/>
      <c r="J65" s="9">
        <v>30</v>
      </c>
      <c r="K65" s="9"/>
      <c r="L65" s="14"/>
      <c r="M65" s="10">
        <v>10</v>
      </c>
      <c r="N65" s="12"/>
      <c r="O65" s="13"/>
      <c r="P65" s="13"/>
      <c r="Q65" s="10"/>
      <c r="R65" s="10"/>
      <c r="S65" s="10">
        <v>22</v>
      </c>
      <c r="T65" s="60"/>
      <c r="U65" s="14"/>
      <c r="V65" s="13"/>
      <c r="W65" s="10"/>
      <c r="X65" s="10"/>
      <c r="Y65" s="10"/>
      <c r="Z65" s="12"/>
      <c r="AA65" s="14"/>
      <c r="AB65" s="13"/>
      <c r="AC65" s="10"/>
      <c r="AD65" s="10"/>
      <c r="AE65" s="10">
        <v>25</v>
      </c>
      <c r="AF65" s="12"/>
      <c r="AG65" s="14"/>
      <c r="AH65" s="13"/>
      <c r="AI65" s="10"/>
      <c r="AJ65" s="12"/>
      <c r="AK65" s="53"/>
    </row>
    <row r="66" spans="1:37" s="35" customFormat="1">
      <c r="A66" s="16" t="s">
        <v>269</v>
      </c>
      <c r="B66" s="10"/>
      <c r="C66" s="7"/>
      <c r="D66" s="26"/>
      <c r="E66" s="9"/>
      <c r="F66" s="85"/>
      <c r="G66" s="10">
        <v>1</v>
      </c>
      <c r="H66" s="10"/>
      <c r="I66" s="10">
        <v>1</v>
      </c>
      <c r="J66" s="9"/>
      <c r="K66" s="9"/>
      <c r="L66" s="14"/>
      <c r="M66" s="10"/>
      <c r="N66" s="12"/>
      <c r="O66" s="13"/>
      <c r="P66" s="13"/>
      <c r="Q66" s="10"/>
      <c r="R66" s="10"/>
      <c r="S66" s="10"/>
      <c r="T66" s="60"/>
      <c r="U66" s="14"/>
      <c r="V66" s="13">
        <v>1</v>
      </c>
      <c r="W66" s="10">
        <v>1</v>
      </c>
      <c r="X66" s="10"/>
      <c r="Y66" s="10"/>
      <c r="Z66" s="12"/>
      <c r="AA66" s="14"/>
      <c r="AB66" s="13">
        <v>1</v>
      </c>
      <c r="AC66" s="10">
        <v>1</v>
      </c>
      <c r="AD66" s="10"/>
      <c r="AE66" s="10"/>
      <c r="AF66" s="12"/>
      <c r="AG66" s="14"/>
      <c r="AH66" s="13"/>
      <c r="AI66" s="10"/>
      <c r="AJ66" s="12"/>
      <c r="AK66" s="53"/>
    </row>
    <row r="67" spans="1:37" s="35" customFormat="1">
      <c r="A67" s="16" t="s">
        <v>270</v>
      </c>
      <c r="B67" s="10"/>
      <c r="C67" s="7"/>
      <c r="D67" s="16"/>
      <c r="E67" s="9"/>
      <c r="F67" s="85"/>
      <c r="G67" s="10"/>
      <c r="H67" s="10"/>
      <c r="I67" s="10">
        <v>1</v>
      </c>
      <c r="J67" s="9"/>
      <c r="K67" s="9"/>
      <c r="L67" s="14"/>
      <c r="M67" s="10"/>
      <c r="N67" s="12"/>
      <c r="O67" s="13"/>
      <c r="P67" s="13"/>
      <c r="Q67" s="10"/>
      <c r="R67" s="10"/>
      <c r="S67" s="10"/>
      <c r="T67" s="60"/>
      <c r="U67" s="14"/>
      <c r="V67" s="13"/>
      <c r="W67" s="10"/>
      <c r="X67" s="10"/>
      <c r="Y67" s="10"/>
      <c r="Z67" s="12"/>
      <c r="AA67" s="14"/>
      <c r="AB67" s="13"/>
      <c r="AC67" s="10"/>
      <c r="AD67" s="10">
        <v>1</v>
      </c>
      <c r="AE67" s="10"/>
      <c r="AF67" s="12"/>
      <c r="AG67" s="14"/>
      <c r="AH67" s="13"/>
      <c r="AI67" s="10"/>
      <c r="AJ67" s="12"/>
      <c r="AK67" s="53"/>
    </row>
    <row r="68" spans="1:37" s="35" customFormat="1">
      <c r="A68" s="16" t="s">
        <v>273</v>
      </c>
      <c r="B68" s="10"/>
      <c r="C68" s="7"/>
      <c r="D68" s="16" t="s">
        <v>274</v>
      </c>
      <c r="E68" s="9"/>
      <c r="F68" s="85"/>
      <c r="G68" s="10">
        <v>17</v>
      </c>
      <c r="H68" s="10"/>
      <c r="I68" s="10"/>
      <c r="J68" s="9">
        <v>8</v>
      </c>
      <c r="K68" s="9"/>
      <c r="L68" s="14"/>
      <c r="M68" s="10"/>
      <c r="N68" s="12"/>
      <c r="O68" s="13"/>
      <c r="P68" s="13">
        <v>16</v>
      </c>
      <c r="Q68" s="10">
        <v>16</v>
      </c>
      <c r="R68" s="10">
        <v>16</v>
      </c>
      <c r="S68" s="10"/>
      <c r="T68" s="60"/>
      <c r="U68" s="14"/>
      <c r="V68" s="13">
        <v>1</v>
      </c>
      <c r="W68" s="10">
        <v>1</v>
      </c>
      <c r="X68" s="10"/>
      <c r="Y68" s="10"/>
      <c r="Z68" s="12"/>
      <c r="AA68" s="14"/>
      <c r="AB68" s="13"/>
      <c r="AC68" s="10"/>
      <c r="AD68" s="10"/>
      <c r="AE68" s="10">
        <v>8</v>
      </c>
      <c r="AF68" s="12"/>
      <c r="AG68" s="14"/>
      <c r="AH68" s="13"/>
      <c r="AI68" s="10"/>
      <c r="AJ68" s="12"/>
      <c r="AK68" s="53"/>
    </row>
    <row r="69" spans="1:37" s="35" customFormat="1">
      <c r="A69" s="16" t="s">
        <v>272</v>
      </c>
      <c r="B69" s="10"/>
      <c r="C69" s="7"/>
      <c r="D69" s="16" t="s">
        <v>275</v>
      </c>
      <c r="E69" s="9"/>
      <c r="F69" s="85"/>
      <c r="G69" s="10">
        <v>5</v>
      </c>
      <c r="H69" s="10"/>
      <c r="I69" s="10"/>
      <c r="J69" s="9">
        <v>5</v>
      </c>
      <c r="K69" s="9"/>
      <c r="L69" s="14"/>
      <c r="M69" s="10"/>
      <c r="N69" s="12"/>
      <c r="O69" s="13"/>
      <c r="P69" s="13"/>
      <c r="Q69" s="10"/>
      <c r="R69" s="10"/>
      <c r="S69" s="10"/>
      <c r="T69" s="60"/>
      <c r="U69" s="14"/>
      <c r="V69" s="10"/>
      <c r="W69" s="10"/>
      <c r="X69" s="10"/>
      <c r="Y69" s="10"/>
      <c r="Z69" s="12"/>
      <c r="AA69" s="14"/>
      <c r="AB69" s="10"/>
      <c r="AC69" s="10"/>
      <c r="AD69" s="10"/>
      <c r="AE69" s="10"/>
      <c r="AF69" s="12"/>
      <c r="AG69" s="14"/>
      <c r="AH69" s="10">
        <v>1</v>
      </c>
      <c r="AI69" s="10">
        <v>1</v>
      </c>
      <c r="AJ69" s="12"/>
      <c r="AK69" s="53"/>
    </row>
    <row r="70" spans="1:37" s="35" customFormat="1">
      <c r="A70" s="16" t="s">
        <v>276</v>
      </c>
      <c r="B70" s="10"/>
      <c r="C70" s="7"/>
      <c r="D70" s="16"/>
      <c r="E70" s="22"/>
      <c r="F70" s="85"/>
      <c r="G70" s="10">
        <v>1</v>
      </c>
      <c r="H70" s="10"/>
      <c r="I70" s="10">
        <v>1</v>
      </c>
      <c r="J70" s="9">
        <v>1</v>
      </c>
      <c r="K70" s="9"/>
      <c r="L70" s="14"/>
      <c r="M70" s="10"/>
      <c r="N70" s="7"/>
      <c r="O70" s="13"/>
      <c r="P70" s="13">
        <v>1</v>
      </c>
      <c r="Q70" s="10">
        <v>1</v>
      </c>
      <c r="R70" s="10">
        <v>1</v>
      </c>
      <c r="S70" s="10"/>
      <c r="T70" s="60"/>
      <c r="U70" s="14"/>
      <c r="V70" s="10">
        <v>1</v>
      </c>
      <c r="W70" s="10">
        <v>1</v>
      </c>
      <c r="X70" s="10">
        <v>1</v>
      </c>
      <c r="Y70" s="10"/>
      <c r="Z70" s="12"/>
      <c r="AA70" s="14"/>
      <c r="AB70" s="10">
        <v>1</v>
      </c>
      <c r="AC70" s="10">
        <v>1</v>
      </c>
      <c r="AD70" s="10">
        <v>1</v>
      </c>
      <c r="AE70" s="10"/>
      <c r="AF70" s="7"/>
      <c r="AG70" s="14"/>
      <c r="AH70" s="13"/>
      <c r="AI70" s="10"/>
      <c r="AJ70" s="7"/>
      <c r="AK70" s="53"/>
    </row>
    <row r="71" spans="1:37" s="35" customFormat="1">
      <c r="A71" s="16" t="s">
        <v>277</v>
      </c>
      <c r="B71" s="10"/>
      <c r="C71" s="7"/>
      <c r="D71" s="16"/>
      <c r="E71" s="22"/>
      <c r="F71" s="87"/>
      <c r="G71" s="5">
        <v>1</v>
      </c>
      <c r="H71" s="5"/>
      <c r="I71" s="5"/>
      <c r="J71" s="22">
        <v>1</v>
      </c>
      <c r="K71" s="9"/>
      <c r="L71" s="16"/>
      <c r="M71" s="10"/>
      <c r="N71" s="7"/>
      <c r="O71" s="23"/>
      <c r="P71" s="23"/>
      <c r="Q71" s="21"/>
      <c r="R71" s="10"/>
      <c r="S71" s="10"/>
      <c r="T71" s="9"/>
      <c r="U71" s="14"/>
      <c r="V71" s="13"/>
      <c r="W71" s="21"/>
      <c r="X71" s="21"/>
      <c r="Y71" s="10"/>
      <c r="Z71" s="15"/>
      <c r="AA71" s="14"/>
      <c r="AB71" s="13"/>
      <c r="AC71" s="21"/>
      <c r="AD71" s="21"/>
      <c r="AE71" s="10"/>
      <c r="AF71" s="15"/>
      <c r="AG71" s="14"/>
      <c r="AH71" s="13"/>
      <c r="AI71" s="21"/>
      <c r="AJ71" s="15"/>
      <c r="AK71" s="53"/>
    </row>
    <row r="72" spans="1:37" s="35" customFormat="1">
      <c r="A72" s="16" t="s">
        <v>278</v>
      </c>
      <c r="B72" s="10"/>
      <c r="C72" s="7"/>
      <c r="D72" s="16" t="s">
        <v>279</v>
      </c>
      <c r="E72" s="22"/>
      <c r="F72" s="87"/>
      <c r="G72" s="5">
        <v>2</v>
      </c>
      <c r="H72" s="5"/>
      <c r="I72" s="5">
        <v>2</v>
      </c>
      <c r="J72" s="22">
        <v>2</v>
      </c>
      <c r="K72" s="9"/>
      <c r="L72" s="16"/>
      <c r="M72" s="10"/>
      <c r="N72" s="7"/>
      <c r="O72" s="23"/>
      <c r="P72" s="23">
        <v>2</v>
      </c>
      <c r="Q72" s="10">
        <v>2</v>
      </c>
      <c r="R72" s="10"/>
      <c r="S72" s="10"/>
      <c r="T72" s="9"/>
      <c r="U72" s="14"/>
      <c r="V72" s="13">
        <v>1</v>
      </c>
      <c r="W72" s="10"/>
      <c r="X72" s="10"/>
      <c r="Y72" s="10"/>
      <c r="Z72" s="15"/>
      <c r="AA72" s="14"/>
      <c r="AB72" s="13">
        <v>1</v>
      </c>
      <c r="AC72" s="10">
        <v>1</v>
      </c>
      <c r="AD72" s="10"/>
      <c r="AE72" s="10"/>
      <c r="AF72" s="15"/>
      <c r="AG72" s="14"/>
      <c r="AH72" s="13"/>
      <c r="AI72" s="10"/>
      <c r="AJ72" s="15"/>
      <c r="AK72" s="53"/>
    </row>
    <row r="73" spans="1:37" s="35" customFormat="1">
      <c r="A73" s="16" t="s">
        <v>280</v>
      </c>
      <c r="B73" s="10"/>
      <c r="C73" s="7"/>
      <c r="D73" s="16" t="s">
        <v>283</v>
      </c>
      <c r="E73" s="22"/>
      <c r="F73" s="87"/>
      <c r="G73" s="5">
        <v>5</v>
      </c>
      <c r="H73" s="5"/>
      <c r="I73" s="5"/>
      <c r="J73" s="22">
        <v>5</v>
      </c>
      <c r="K73" s="9"/>
      <c r="L73" s="16"/>
      <c r="M73" s="10"/>
      <c r="N73" s="7"/>
      <c r="O73" s="23"/>
      <c r="P73" s="23"/>
      <c r="Q73" s="10"/>
      <c r="R73" s="10"/>
      <c r="S73" s="10"/>
      <c r="T73" s="9"/>
      <c r="U73" s="14"/>
      <c r="V73" s="13"/>
      <c r="W73" s="10"/>
      <c r="X73" s="10"/>
      <c r="Y73" s="10"/>
      <c r="Z73" s="15"/>
      <c r="AA73" s="14"/>
      <c r="AB73" s="13"/>
      <c r="AC73" s="10"/>
      <c r="AD73" s="10"/>
      <c r="AE73" s="10"/>
      <c r="AF73" s="15"/>
      <c r="AG73" s="14"/>
      <c r="AH73" s="13"/>
      <c r="AI73" s="10"/>
      <c r="AJ73" s="15"/>
      <c r="AK73" s="53"/>
    </row>
    <row r="74" spans="1:37" s="35" customFormat="1">
      <c r="A74" s="16" t="s">
        <v>281</v>
      </c>
      <c r="B74" s="10"/>
      <c r="C74" s="7"/>
      <c r="D74" s="16" t="s">
        <v>282</v>
      </c>
      <c r="E74" s="22"/>
      <c r="F74" s="87"/>
      <c r="G74" s="5">
        <v>6</v>
      </c>
      <c r="H74" s="5"/>
      <c r="I74" s="5"/>
      <c r="J74" s="22">
        <v>5</v>
      </c>
      <c r="K74" s="9"/>
      <c r="L74" s="16"/>
      <c r="M74" s="10"/>
      <c r="N74" s="7"/>
      <c r="O74" s="23"/>
      <c r="P74" s="23">
        <v>4</v>
      </c>
      <c r="Q74" s="10">
        <v>4</v>
      </c>
      <c r="R74" s="10">
        <v>6</v>
      </c>
      <c r="S74" s="10"/>
      <c r="T74" s="9"/>
      <c r="U74" s="14"/>
      <c r="V74" s="13"/>
      <c r="W74" s="10"/>
      <c r="X74" s="10"/>
      <c r="Y74" s="10"/>
      <c r="Z74" s="15"/>
      <c r="AA74" s="14"/>
      <c r="AB74" s="13"/>
      <c r="AC74" s="10"/>
      <c r="AD74" s="10"/>
      <c r="AE74" s="10">
        <v>5</v>
      </c>
      <c r="AF74" s="15"/>
      <c r="AG74" s="14"/>
      <c r="AH74" s="13"/>
      <c r="AI74" s="10"/>
      <c r="AJ74" s="15"/>
      <c r="AK74" s="53"/>
    </row>
    <row r="75" spans="1:37" s="35" customFormat="1">
      <c r="A75" s="16" t="s">
        <v>284</v>
      </c>
      <c r="B75" s="5"/>
      <c r="C75" s="15"/>
      <c r="D75" s="16" t="s">
        <v>285</v>
      </c>
      <c r="E75" s="22"/>
      <c r="F75" s="87"/>
      <c r="G75" s="5">
        <v>4</v>
      </c>
      <c r="H75" s="5"/>
      <c r="I75" s="5"/>
      <c r="J75" s="22">
        <v>4</v>
      </c>
      <c r="K75" s="22"/>
      <c r="L75" s="16"/>
      <c r="M75" s="5"/>
      <c r="N75" s="15"/>
      <c r="O75" s="23"/>
      <c r="P75" s="23"/>
      <c r="Q75" s="5"/>
      <c r="R75" s="5"/>
      <c r="S75" s="5"/>
      <c r="T75" s="22"/>
      <c r="U75" s="16"/>
      <c r="V75" s="23"/>
      <c r="W75" s="5"/>
      <c r="X75" s="5"/>
      <c r="Y75" s="5"/>
      <c r="Z75" s="12"/>
      <c r="AA75" s="16"/>
      <c r="AB75" s="23"/>
      <c r="AC75" s="5"/>
      <c r="AD75" s="5"/>
      <c r="AE75" s="5"/>
      <c r="AF75" s="12"/>
      <c r="AG75" s="16"/>
      <c r="AH75" s="23"/>
      <c r="AI75" s="5"/>
      <c r="AJ75" s="12"/>
      <c r="AK75" s="53"/>
    </row>
    <row r="76" spans="1:37" s="35" customFormat="1">
      <c r="A76" s="16" t="s">
        <v>271</v>
      </c>
      <c r="B76" s="5"/>
      <c r="C76" s="15"/>
      <c r="D76" s="16" t="s">
        <v>286</v>
      </c>
      <c r="E76" s="22"/>
      <c r="F76" s="87"/>
      <c r="G76" s="5">
        <v>8</v>
      </c>
      <c r="H76" s="5"/>
      <c r="I76" s="5"/>
      <c r="J76" s="22">
        <v>6</v>
      </c>
      <c r="K76" s="22"/>
      <c r="L76" s="16"/>
      <c r="M76" s="5"/>
      <c r="N76" s="15"/>
      <c r="O76" s="23"/>
      <c r="P76" s="23">
        <v>8</v>
      </c>
      <c r="Q76" s="5">
        <v>8</v>
      </c>
      <c r="R76" s="5"/>
      <c r="S76" s="5"/>
      <c r="T76" s="22"/>
      <c r="U76" s="16"/>
      <c r="V76" s="23"/>
      <c r="W76" s="5"/>
      <c r="X76" s="5"/>
      <c r="Y76" s="5"/>
      <c r="Z76" s="12"/>
      <c r="AA76" s="16"/>
      <c r="AB76" s="23"/>
      <c r="AC76" s="5"/>
      <c r="AD76" s="5"/>
      <c r="AE76" s="5">
        <v>6</v>
      </c>
      <c r="AF76" s="12"/>
      <c r="AG76" s="16"/>
      <c r="AH76" s="23"/>
      <c r="AI76" s="5"/>
      <c r="AJ76" s="12"/>
      <c r="AK76" s="53"/>
    </row>
    <row r="77" spans="1:37" s="35" customFormat="1">
      <c r="A77" s="16" t="s">
        <v>287</v>
      </c>
      <c r="B77" s="5"/>
      <c r="C77" s="15"/>
      <c r="D77" s="16" t="s">
        <v>288</v>
      </c>
      <c r="E77" s="22"/>
      <c r="F77" s="87"/>
      <c r="G77" s="139">
        <v>60</v>
      </c>
      <c r="H77" s="139"/>
      <c r="I77" s="139">
        <v>30</v>
      </c>
      <c r="J77" s="140">
        <v>30</v>
      </c>
      <c r="K77" s="9"/>
      <c r="L77" s="16"/>
      <c r="M77" s="10">
        <v>10</v>
      </c>
      <c r="N77" s="7"/>
      <c r="O77" s="23"/>
      <c r="P77" s="23">
        <v>10</v>
      </c>
      <c r="Q77" s="10"/>
      <c r="R77" s="10"/>
      <c r="S77" s="10">
        <v>10</v>
      </c>
      <c r="T77" s="9"/>
      <c r="U77" s="16"/>
      <c r="V77" s="23">
        <v>10</v>
      </c>
      <c r="W77" s="10"/>
      <c r="X77" s="10"/>
      <c r="Y77" s="10">
        <v>10</v>
      </c>
      <c r="Z77" s="7"/>
      <c r="AA77" s="16"/>
      <c r="AB77" s="23">
        <v>30</v>
      </c>
      <c r="AC77" s="10"/>
      <c r="AD77" s="10"/>
      <c r="AE77" s="10">
        <v>10</v>
      </c>
      <c r="AF77" s="7"/>
      <c r="AG77" s="16"/>
      <c r="AH77" s="23">
        <v>10</v>
      </c>
      <c r="AI77" s="10"/>
      <c r="AJ77" s="7"/>
      <c r="AK77" s="53"/>
    </row>
    <row r="78" spans="1:37" s="35" customFormat="1">
      <c r="A78" s="16" t="s">
        <v>289</v>
      </c>
      <c r="B78" s="10"/>
      <c r="C78" s="7"/>
      <c r="D78" s="16" t="s">
        <v>290</v>
      </c>
      <c r="E78" s="22"/>
      <c r="F78" s="87"/>
      <c r="G78" s="5">
        <v>3</v>
      </c>
      <c r="H78" s="5"/>
      <c r="I78" s="5">
        <v>3</v>
      </c>
      <c r="J78" s="22">
        <v>3</v>
      </c>
      <c r="K78" s="9"/>
      <c r="L78" s="16"/>
      <c r="M78" s="10"/>
      <c r="N78" s="7"/>
      <c r="O78" s="23"/>
      <c r="P78" s="23"/>
      <c r="Q78" s="5"/>
      <c r="R78" s="10"/>
      <c r="S78" s="10"/>
      <c r="T78" s="9"/>
      <c r="U78" s="14"/>
      <c r="V78" s="13">
        <v>1</v>
      </c>
      <c r="W78" s="5"/>
      <c r="X78" s="5"/>
      <c r="Y78" s="10">
        <v>1</v>
      </c>
      <c r="Z78" s="15"/>
      <c r="AA78" s="14"/>
      <c r="AB78" s="13">
        <v>1</v>
      </c>
      <c r="AC78" s="5"/>
      <c r="AD78" s="5"/>
      <c r="AE78" s="10">
        <v>1</v>
      </c>
      <c r="AF78" s="15"/>
      <c r="AG78" s="14"/>
      <c r="AH78" s="13">
        <v>1</v>
      </c>
      <c r="AI78" s="5"/>
      <c r="AJ78" s="15"/>
      <c r="AK78" s="53"/>
    </row>
    <row r="79" spans="1:37" s="35" customFormat="1">
      <c r="A79" s="16" t="s">
        <v>291</v>
      </c>
      <c r="B79" s="10" t="s">
        <v>296</v>
      </c>
      <c r="C79" s="10" t="s">
        <v>295</v>
      </c>
      <c r="D79" s="16" t="s">
        <v>293</v>
      </c>
      <c r="E79" s="22"/>
      <c r="F79" s="87"/>
      <c r="G79" s="10">
        <v>1</v>
      </c>
      <c r="H79" s="10"/>
      <c r="I79" s="10">
        <v>1</v>
      </c>
      <c r="J79" s="9">
        <v>1</v>
      </c>
      <c r="K79" s="9"/>
      <c r="L79" s="16"/>
      <c r="M79" s="10"/>
      <c r="N79" s="7"/>
      <c r="O79" s="23"/>
      <c r="P79" s="23"/>
      <c r="Q79" s="10"/>
      <c r="R79" s="10"/>
      <c r="S79" s="10"/>
      <c r="T79" s="9"/>
      <c r="U79" s="14"/>
      <c r="V79" s="76">
        <v>1</v>
      </c>
      <c r="W79" s="139">
        <v>1</v>
      </c>
      <c r="X79" s="10"/>
      <c r="Y79" s="10"/>
      <c r="Z79" s="15"/>
      <c r="AA79" s="14"/>
      <c r="AB79" s="76">
        <v>1</v>
      </c>
      <c r="AC79" s="139">
        <v>1</v>
      </c>
      <c r="AD79" s="10"/>
      <c r="AE79" s="10"/>
      <c r="AF79" s="15"/>
      <c r="AG79" s="14"/>
      <c r="AH79" s="13"/>
      <c r="AI79" s="10"/>
      <c r="AJ79" s="15"/>
      <c r="AK79" s="53"/>
    </row>
    <row r="80" spans="1:37" s="35" customFormat="1">
      <c r="A80" s="16" t="s">
        <v>291</v>
      </c>
      <c r="B80" s="10" t="s">
        <v>297</v>
      </c>
      <c r="C80" s="7" t="s">
        <v>298</v>
      </c>
      <c r="D80" s="16"/>
      <c r="E80" s="22"/>
      <c r="F80" s="87"/>
      <c r="G80" s="10">
        <v>1</v>
      </c>
      <c r="H80" s="10"/>
      <c r="I80" s="10">
        <v>1</v>
      </c>
      <c r="J80" s="9">
        <v>1</v>
      </c>
      <c r="K80" s="9"/>
      <c r="L80" s="16"/>
      <c r="M80" s="10"/>
      <c r="N80" s="7"/>
      <c r="O80" s="23"/>
      <c r="P80" s="23"/>
      <c r="Q80" s="10"/>
      <c r="R80" s="10"/>
      <c r="S80" s="10"/>
      <c r="T80" s="9"/>
      <c r="U80" s="14"/>
      <c r="V80" s="76">
        <v>1</v>
      </c>
      <c r="W80" s="139">
        <v>1</v>
      </c>
      <c r="X80" s="10"/>
      <c r="Y80" s="10"/>
      <c r="Z80" s="15"/>
      <c r="AA80" s="14"/>
      <c r="AB80" s="76">
        <v>1</v>
      </c>
      <c r="AC80" s="139">
        <v>1</v>
      </c>
      <c r="AD80" s="10"/>
      <c r="AE80" s="10"/>
      <c r="AF80" s="15"/>
      <c r="AG80" s="14"/>
      <c r="AH80" s="13"/>
      <c r="AI80" s="10"/>
      <c r="AJ80" s="15"/>
      <c r="AK80" s="53"/>
    </row>
    <row r="81" spans="1:37" s="35" customFormat="1">
      <c r="A81" s="16" t="s">
        <v>292</v>
      </c>
      <c r="B81" s="10"/>
      <c r="C81" s="7"/>
      <c r="D81" s="16" t="s">
        <v>292</v>
      </c>
      <c r="E81" s="22"/>
      <c r="F81" s="87"/>
      <c r="G81" s="10">
        <v>1</v>
      </c>
      <c r="H81" s="10"/>
      <c r="I81" s="10">
        <v>1</v>
      </c>
      <c r="J81" s="9">
        <v>1</v>
      </c>
      <c r="K81" s="22"/>
      <c r="L81" s="16"/>
      <c r="M81" s="5"/>
      <c r="N81" s="15"/>
      <c r="O81" s="23"/>
      <c r="P81" s="23"/>
      <c r="Q81" s="5"/>
      <c r="R81" s="5"/>
      <c r="S81" s="5"/>
      <c r="T81" s="22"/>
      <c r="U81" s="16"/>
      <c r="V81" s="23">
        <v>1</v>
      </c>
      <c r="W81" s="10"/>
      <c r="X81" s="5"/>
      <c r="Y81" s="5"/>
      <c r="Z81" s="12"/>
      <c r="AA81" s="16"/>
      <c r="AB81" s="23">
        <v>1</v>
      </c>
      <c r="AC81" s="10">
        <v>1</v>
      </c>
      <c r="AD81" s="5"/>
      <c r="AE81" s="5"/>
      <c r="AF81" s="12"/>
      <c r="AG81" s="16"/>
      <c r="AH81" s="23"/>
      <c r="AI81" s="10"/>
      <c r="AJ81" s="12"/>
      <c r="AK81" s="53"/>
    </row>
    <row r="82" spans="1:37" s="35" customFormat="1">
      <c r="A82" s="39"/>
      <c r="B82" s="5"/>
      <c r="C82" s="15"/>
      <c r="D82" s="16"/>
      <c r="E82" s="22"/>
      <c r="F82" s="87"/>
      <c r="G82" s="5"/>
      <c r="H82" s="5"/>
      <c r="I82" s="5"/>
      <c r="J82" s="22"/>
      <c r="K82" s="22"/>
      <c r="L82" s="16"/>
      <c r="M82" s="5"/>
      <c r="N82" s="15"/>
      <c r="O82" s="23"/>
      <c r="P82" s="23"/>
      <c r="Q82" s="5"/>
      <c r="R82" s="5"/>
      <c r="S82" s="5"/>
      <c r="T82" s="22"/>
      <c r="U82" s="16"/>
      <c r="V82" s="23"/>
      <c r="W82" s="5"/>
      <c r="X82" s="5"/>
      <c r="Y82" s="5"/>
      <c r="Z82" s="12"/>
      <c r="AA82" s="16"/>
      <c r="AB82" s="23"/>
      <c r="AC82" s="5"/>
      <c r="AD82" s="5"/>
      <c r="AE82" s="5"/>
      <c r="AF82" s="12"/>
      <c r="AG82" s="16"/>
      <c r="AH82" s="23"/>
      <c r="AI82" s="5"/>
      <c r="AJ82" s="12"/>
      <c r="AK82" s="53"/>
    </row>
    <row r="83" spans="1:37" s="35" customFormat="1">
      <c r="A83" s="39"/>
      <c r="B83" s="5"/>
      <c r="C83" s="15"/>
      <c r="D83" s="16"/>
      <c r="E83" s="22"/>
      <c r="F83" s="87"/>
      <c r="G83" s="10"/>
      <c r="H83" s="10"/>
      <c r="I83" s="10"/>
      <c r="J83" s="9"/>
      <c r="K83" s="9"/>
      <c r="L83" s="16"/>
      <c r="M83" s="10"/>
      <c r="N83" s="7"/>
      <c r="O83" s="23"/>
      <c r="P83" s="23"/>
      <c r="Q83" s="10"/>
      <c r="R83" s="10"/>
      <c r="S83" s="10"/>
      <c r="T83" s="9"/>
      <c r="U83" s="16"/>
      <c r="V83" s="23"/>
      <c r="W83" s="10"/>
      <c r="X83" s="10"/>
      <c r="Y83" s="10"/>
      <c r="Z83" s="7"/>
      <c r="AA83" s="16"/>
      <c r="AB83" s="23"/>
      <c r="AC83" s="10"/>
      <c r="AD83" s="10"/>
      <c r="AE83" s="10"/>
      <c r="AF83" s="7"/>
      <c r="AG83" s="16"/>
      <c r="AH83" s="23"/>
      <c r="AI83" s="10"/>
      <c r="AJ83" s="7"/>
      <c r="AK83" s="53"/>
    </row>
    <row r="84" spans="1:37" s="35" customFormat="1">
      <c r="A84" s="41"/>
      <c r="B84" s="11"/>
      <c r="C84" s="57"/>
      <c r="D84" s="25"/>
      <c r="E84" s="78"/>
      <c r="F84" s="88"/>
      <c r="G84" s="10"/>
      <c r="H84" s="10"/>
      <c r="I84" s="10"/>
      <c r="J84" s="9"/>
      <c r="K84" s="9"/>
      <c r="L84" s="16"/>
      <c r="M84" s="10"/>
      <c r="N84" s="7"/>
      <c r="O84" s="23"/>
      <c r="P84" s="23"/>
      <c r="Q84" s="5"/>
      <c r="R84" s="5"/>
      <c r="S84" s="10"/>
      <c r="T84" s="9"/>
      <c r="U84" s="16"/>
      <c r="V84" s="23"/>
      <c r="W84" s="10"/>
      <c r="X84" s="10"/>
      <c r="Y84" s="10"/>
      <c r="Z84" s="7"/>
      <c r="AA84" s="16"/>
      <c r="AB84" s="23"/>
      <c r="AC84" s="10"/>
      <c r="AD84" s="10"/>
      <c r="AE84" s="10"/>
      <c r="AF84" s="7"/>
      <c r="AG84" s="16"/>
      <c r="AH84" s="23"/>
      <c r="AI84" s="10"/>
      <c r="AJ84" s="7"/>
      <c r="AK84" s="53"/>
    </row>
    <row r="85" spans="1:37" s="35" customFormat="1">
      <c r="A85" s="41"/>
      <c r="B85" s="11"/>
      <c r="C85" s="57"/>
      <c r="D85" s="25"/>
      <c r="E85" s="78"/>
      <c r="F85" s="88"/>
      <c r="G85" s="10"/>
      <c r="H85" s="10"/>
      <c r="I85" s="10"/>
      <c r="J85" s="9"/>
      <c r="K85" s="9"/>
      <c r="L85" s="16"/>
      <c r="M85" s="10"/>
      <c r="N85" s="7"/>
      <c r="O85" s="23"/>
      <c r="P85" s="23"/>
      <c r="Q85" s="5"/>
      <c r="R85" s="5"/>
      <c r="S85" s="10"/>
      <c r="T85" s="9"/>
      <c r="U85" s="16"/>
      <c r="V85" s="23"/>
      <c r="W85" s="10"/>
      <c r="X85" s="10"/>
      <c r="Y85" s="10"/>
      <c r="Z85" s="7"/>
      <c r="AA85" s="16"/>
      <c r="AB85" s="23"/>
      <c r="AC85" s="10"/>
      <c r="AD85" s="10"/>
      <c r="AE85" s="10"/>
      <c r="AF85" s="7"/>
      <c r="AG85" s="16"/>
      <c r="AH85" s="23"/>
      <c r="AI85" s="10"/>
      <c r="AJ85" s="7"/>
      <c r="AK85" s="53"/>
    </row>
    <row r="86" spans="1:37" s="35" customFormat="1">
      <c r="A86" s="41"/>
      <c r="B86" s="11"/>
      <c r="C86" s="57"/>
      <c r="D86" s="25"/>
      <c r="E86" s="78"/>
      <c r="F86" s="88"/>
      <c r="G86" s="10"/>
      <c r="H86" s="10"/>
      <c r="I86" s="10"/>
      <c r="J86" s="9"/>
      <c r="K86" s="9"/>
      <c r="L86" s="16"/>
      <c r="M86" s="10"/>
      <c r="N86" s="7"/>
      <c r="O86" s="23"/>
      <c r="P86" s="23"/>
      <c r="Q86" s="5"/>
      <c r="R86" s="5"/>
      <c r="S86" s="10"/>
      <c r="T86" s="9"/>
      <c r="U86" s="16"/>
      <c r="V86" s="23"/>
      <c r="W86" s="10"/>
      <c r="X86" s="10"/>
      <c r="Y86" s="10"/>
      <c r="Z86" s="7"/>
      <c r="AA86" s="16"/>
      <c r="AB86" s="23"/>
      <c r="AC86" s="10"/>
      <c r="AD86" s="10"/>
      <c r="AE86" s="10"/>
      <c r="AF86" s="7"/>
      <c r="AG86" s="16"/>
      <c r="AH86" s="23"/>
      <c r="AI86" s="10"/>
      <c r="AJ86" s="7"/>
      <c r="AK86" s="53"/>
    </row>
    <row r="87" spans="1:37" s="38" customFormat="1" ht="17" thickBot="1">
      <c r="A87" s="40"/>
      <c r="B87" s="6"/>
      <c r="C87" s="20"/>
      <c r="D87" s="18"/>
      <c r="E87" s="30"/>
      <c r="F87" s="89"/>
      <c r="G87" s="19"/>
      <c r="H87" s="19"/>
      <c r="I87" s="19"/>
      <c r="J87" s="32"/>
      <c r="K87" s="32"/>
      <c r="L87" s="18"/>
      <c r="M87" s="19"/>
      <c r="N87" s="8"/>
      <c r="O87" s="24"/>
      <c r="P87" s="24"/>
      <c r="Q87" s="19"/>
      <c r="R87" s="19"/>
      <c r="S87" s="19"/>
      <c r="T87" s="32"/>
      <c r="U87" s="18"/>
      <c r="V87" s="24"/>
      <c r="W87" s="6"/>
      <c r="X87" s="19"/>
      <c r="Y87" s="19"/>
      <c r="Z87" s="8"/>
      <c r="AA87" s="18"/>
      <c r="AB87" s="24"/>
      <c r="AC87" s="6"/>
      <c r="AD87" s="19"/>
      <c r="AE87" s="19"/>
      <c r="AF87" s="8"/>
      <c r="AG87" s="18"/>
      <c r="AH87" s="24"/>
      <c r="AI87" s="6"/>
      <c r="AJ87" s="8"/>
      <c r="AK87" s="67"/>
    </row>
    <row r="88" spans="1:37" ht="17" thickBot="1">
      <c r="C88" s="3">
        <f>COUNTA(C3:C86)</f>
        <v>58</v>
      </c>
      <c r="G88" s="77">
        <f>SUM(G3:G87)</f>
        <v>384</v>
      </c>
      <c r="H88" s="77">
        <f t="shared" ref="H88:M88" si="0">SUM(H3:H87)</f>
        <v>0</v>
      </c>
      <c r="I88" s="77">
        <f t="shared" si="0"/>
        <v>137</v>
      </c>
      <c r="J88" s="77">
        <f t="shared" si="0"/>
        <v>280</v>
      </c>
      <c r="K88" s="77">
        <f t="shared" si="0"/>
        <v>68</v>
      </c>
      <c r="L88" s="77">
        <f t="shared" si="0"/>
        <v>31</v>
      </c>
      <c r="M88" s="77">
        <f t="shared" si="0"/>
        <v>46</v>
      </c>
      <c r="O88" s="77">
        <f t="shared" ref="O88" si="1">SUM(O3:O87)</f>
        <v>41</v>
      </c>
      <c r="P88" s="77">
        <f>SUM(P3:P87)</f>
        <v>142</v>
      </c>
      <c r="Q88" s="77">
        <f t="shared" ref="Q88" si="2">SUM(Q3:Q87)</f>
        <v>132</v>
      </c>
      <c r="R88" s="77">
        <f t="shared" ref="R88" si="3">SUM(R3:R87)</f>
        <v>76</v>
      </c>
      <c r="S88" s="77">
        <f t="shared" ref="S88" si="4">SUM(S3:S87)</f>
        <v>52</v>
      </c>
      <c r="U88" s="77">
        <f t="shared" ref="U88" si="5">SUM(U3:U87)</f>
        <v>45</v>
      </c>
      <c r="V88" s="77">
        <f t="shared" ref="V88" si="6">SUM(V3:V87)</f>
        <v>122</v>
      </c>
      <c r="W88" s="77">
        <f t="shared" ref="W88" si="7">SUM(W3:W87)</f>
        <v>106</v>
      </c>
      <c r="X88" s="77">
        <f t="shared" ref="X88" si="8">SUM(X3:X87)</f>
        <v>79</v>
      </c>
      <c r="Y88" s="77">
        <f t="shared" ref="Y88" si="9">SUM(Y3:Y87)</f>
        <v>26</v>
      </c>
      <c r="AA88" s="77">
        <f t="shared" ref="AA88" si="10">SUM(AA3:AA87)</f>
        <v>47</v>
      </c>
      <c r="AB88" s="77">
        <f t="shared" ref="AB88" si="11">SUM(AB3:AB87)</f>
        <v>138</v>
      </c>
      <c r="AC88" s="77">
        <f t="shared" ref="AC88" si="12">SUM(AC3:AC87)</f>
        <v>107</v>
      </c>
      <c r="AD88" s="77">
        <f t="shared" ref="AD88" si="13">SUM(AD3:AD87)</f>
        <v>71</v>
      </c>
      <c r="AE88" s="77">
        <f t="shared" ref="AE88" si="14">SUM(AE3:AE87)</f>
        <v>111</v>
      </c>
      <c r="AG88" s="77">
        <f t="shared" ref="AG88" si="15">SUM(AG3:AG87)</f>
        <v>25</v>
      </c>
      <c r="AH88" s="77">
        <f t="shared" ref="AH88" si="16">SUM(AH3:AH87)</f>
        <v>43</v>
      </c>
      <c r="AI88" s="77">
        <f t="shared" ref="AI88" si="17">SUM(AI3:AI87)</f>
        <v>32</v>
      </c>
    </row>
    <row r="89" spans="1:37">
      <c r="W89" s="4"/>
      <c r="AC89" s="4"/>
      <c r="AI89" s="4"/>
    </row>
    <row r="90" spans="1:37">
      <c r="G90" s="142"/>
      <c r="H90" s="142"/>
      <c r="I90" s="142"/>
      <c r="J90" s="142"/>
      <c r="M90" s="141">
        <v>50</v>
      </c>
      <c r="P90" s="141">
        <v>150</v>
      </c>
      <c r="Q90" s="141">
        <v>135</v>
      </c>
      <c r="R90" s="141">
        <v>80</v>
      </c>
      <c r="S90" s="141">
        <v>55</v>
      </c>
      <c r="V90" s="141">
        <v>130</v>
      </c>
      <c r="W90" s="141">
        <v>110</v>
      </c>
      <c r="X90" s="141">
        <v>80</v>
      </c>
      <c r="Y90" s="141">
        <v>30</v>
      </c>
      <c r="AB90" s="141">
        <v>140</v>
      </c>
      <c r="AC90" s="141">
        <v>110</v>
      </c>
      <c r="AD90" s="141">
        <v>75</v>
      </c>
      <c r="AE90" s="141">
        <v>120</v>
      </c>
      <c r="AH90" s="141">
        <v>45</v>
      </c>
      <c r="AI90" s="141">
        <v>35</v>
      </c>
    </row>
    <row r="91" spans="1:37">
      <c r="W91" s="4"/>
      <c r="AC91" s="4"/>
      <c r="AI91" s="4"/>
    </row>
    <row r="92" spans="1:37">
      <c r="W92" s="143" t="s">
        <v>294</v>
      </c>
      <c r="AC92" s="4"/>
      <c r="AI92" s="4"/>
    </row>
    <row r="93" spans="1:37">
      <c r="W93" s="4"/>
      <c r="AC93" s="4"/>
      <c r="AI93" s="4"/>
    </row>
  </sheetData>
  <mergeCells count="12">
    <mergeCell ref="A40:A56"/>
    <mergeCell ref="U1:Z1"/>
    <mergeCell ref="L1:N1"/>
    <mergeCell ref="A57:A58"/>
    <mergeCell ref="AG1:AJ1"/>
    <mergeCell ref="A3:A24"/>
    <mergeCell ref="A36:A39"/>
    <mergeCell ref="A30:A34"/>
    <mergeCell ref="A26:A29"/>
    <mergeCell ref="B1:K1"/>
    <mergeCell ref="O1:T1"/>
    <mergeCell ref="AA1:AF1"/>
  </mergeCells>
  <phoneticPr fontId="6" type="noConversion"/>
  <hyperlinks>
    <hyperlink ref="F10" r:id="rId1" display="mailto:mwasservogel@ideacom.com" xr:uid="{0DE71015-1798-AC40-AEFA-02F9C0BEAC4A}"/>
    <hyperlink ref="F3" r:id="rId2" display="mailto:jberardier@ideacom.com" xr:uid="{BED5E771-B292-8940-9713-61CAA363466E}"/>
    <hyperlink ref="F4" r:id="rId3" display="mailto:mbourdier@ideacom.com" xr:uid="{FA61C23E-6108-204D-A16A-893CE503FBF2}"/>
    <hyperlink ref="F5" r:id="rId4" display="mailto:jhandgraaf@ideacom.com" xr:uid="{A0EBE5C6-69DC-0946-8AF3-25B195D995C6}"/>
    <hyperlink ref="F57" r:id="rId5" display="mailto:info@a-loc.com" xr:uid="{BCD5AD34-5685-DE41-8A41-D8D96B8C1D12}"/>
    <hyperlink ref="F58" r:id="rId6" display="mailto:info@a-loc.com" xr:uid="{3ED4B77C-F9C0-2A43-B3D5-41D0CC42E377}"/>
    <hyperlink ref="F9" r:id="rId7" display="mailto:apette@ideacom.com" xr:uid="{9BD935F1-EE20-7D46-BF6B-BB57C263E60E}"/>
    <hyperlink ref="F12" r:id="rId8" display="mailto:oneway.technique@gmail.com" xr:uid="{5C5D7059-CE4B-9349-83D1-838E6D2CAFBC}"/>
    <hyperlink ref="F6" r:id="rId9" display="mailto:flagioia@ideacom.com" xr:uid="{D12E0FF8-CCCB-A142-8089-50244C207D07}"/>
    <hyperlink ref="F7" r:id="rId10" xr:uid="{BCB359BB-BF11-BA49-ADEE-A79B32C198DA}"/>
    <hyperlink ref="F8" r:id="rId11" xr:uid="{DB6CF56F-1EF8-0345-BFD7-514168069EF1}"/>
    <hyperlink ref="F13" r:id="rId12" display="mailto:vianneydugast@orange.fr" xr:uid="{613C58C6-33DC-774E-8443-C0CD40D9FFCF}"/>
    <hyperlink ref="F26" r:id="rId13" display="mailto:rfoisneau@dragonflycom.fr" xr:uid="{63E25B47-D2D2-A54F-BD7A-0926EDD6939A}"/>
    <hyperlink ref="F25" r:id="rId14" display="mailto:strategicconsulting@maitranandco.com" xr:uid="{7DEB1CC1-4E5F-014E-96CC-E3D09D0D7B87}"/>
  </hyperlinks>
  <pageMargins left="0.25" right="0.25" top="0.75" bottom="0.75" header="0.3" footer="0.3"/>
  <pageSetup paperSize="8" scale="10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FDDC1-3052-8947-98AB-3B8EC623BEE5}">
  <dimension ref="A1:H163"/>
  <sheetViews>
    <sheetView zoomScale="77" zoomScaleNormal="77" workbookViewId="0">
      <selection activeCell="K32" sqref="K32"/>
    </sheetView>
  </sheetViews>
  <sheetFormatPr baseColWidth="10" defaultRowHeight="16"/>
  <cols>
    <col min="1" max="1" width="57.83203125" style="90" customWidth="1"/>
    <col min="2" max="2" width="67.33203125" style="90" customWidth="1"/>
    <col min="3" max="3" width="16.83203125" style="90" customWidth="1"/>
    <col min="4" max="4" width="13.1640625" style="90" customWidth="1"/>
    <col min="5" max="5" width="14.5" style="90" customWidth="1"/>
    <col min="6" max="16384" width="10.83203125" style="90"/>
  </cols>
  <sheetData>
    <row r="1" spans="1:7" ht="17" thickBot="1">
      <c r="A1" s="170" t="s">
        <v>153</v>
      </c>
      <c r="B1" s="170"/>
      <c r="C1" s="170"/>
      <c r="D1" s="170"/>
      <c r="E1" s="170"/>
      <c r="F1" s="170"/>
    </row>
    <row r="2" spans="1:7" ht="17" thickBot="1">
      <c r="A2" s="117" t="s">
        <v>154</v>
      </c>
      <c r="B2" s="118" t="s">
        <v>191</v>
      </c>
      <c r="C2" s="118" t="s">
        <v>2</v>
      </c>
      <c r="D2" s="119" t="s">
        <v>3</v>
      </c>
      <c r="E2" s="118" t="s">
        <v>189</v>
      </c>
      <c r="F2" s="120" t="s">
        <v>190</v>
      </c>
    </row>
    <row r="3" spans="1:7" s="92" customFormat="1">
      <c r="A3" s="106" t="s">
        <v>141</v>
      </c>
      <c r="B3" s="106"/>
      <c r="C3" s="107" t="s">
        <v>79</v>
      </c>
      <c r="D3" s="106" t="s">
        <v>147</v>
      </c>
      <c r="E3" s="108"/>
      <c r="F3" s="106"/>
    </row>
    <row r="4" spans="1:7" s="92" customFormat="1">
      <c r="A4" s="103" t="s">
        <v>139</v>
      </c>
      <c r="B4" s="103"/>
      <c r="C4" s="104" t="s">
        <v>81</v>
      </c>
      <c r="D4" s="103" t="s">
        <v>26</v>
      </c>
      <c r="E4" s="105"/>
      <c r="F4" s="103"/>
    </row>
    <row r="5" spans="1:7" s="92" customFormat="1">
      <c r="A5" s="103" t="s">
        <v>140</v>
      </c>
      <c r="B5" s="103"/>
      <c r="C5" s="104" t="s">
        <v>84</v>
      </c>
      <c r="D5" s="103" t="s">
        <v>29</v>
      </c>
      <c r="E5" s="105"/>
      <c r="F5" s="103"/>
    </row>
    <row r="6" spans="1:7" s="92" customFormat="1">
      <c r="A6" s="103" t="s">
        <v>146</v>
      </c>
      <c r="B6" s="103"/>
      <c r="C6" s="104" t="s">
        <v>85</v>
      </c>
      <c r="D6" s="103" t="s">
        <v>30</v>
      </c>
      <c r="E6" s="105"/>
      <c r="F6" s="103"/>
    </row>
    <row r="7" spans="1:7">
      <c r="A7" s="96" t="s">
        <v>200</v>
      </c>
      <c r="B7" s="96"/>
      <c r="C7" s="96"/>
      <c r="D7" s="97"/>
      <c r="E7" s="96"/>
      <c r="F7" s="96"/>
    </row>
    <row r="8" spans="1:7">
      <c r="A8" s="102" t="s">
        <v>150</v>
      </c>
      <c r="B8" s="102" t="s">
        <v>208</v>
      </c>
      <c r="C8" s="102"/>
      <c r="D8" s="109"/>
      <c r="E8" s="102"/>
      <c r="F8" s="102"/>
    </row>
    <row r="9" spans="1:7">
      <c r="A9" s="102" t="s">
        <v>138</v>
      </c>
      <c r="B9" s="102" t="s">
        <v>168</v>
      </c>
      <c r="C9" s="110"/>
      <c r="D9" s="102"/>
      <c r="E9" s="100"/>
      <c r="F9" s="102"/>
    </row>
    <row r="10" spans="1:7">
      <c r="A10" s="102" t="s">
        <v>155</v>
      </c>
      <c r="B10" s="102" t="s">
        <v>166</v>
      </c>
      <c r="C10" s="110"/>
      <c r="D10" s="102"/>
      <c r="E10" s="100"/>
      <c r="F10" s="102"/>
      <c r="G10" s="91"/>
    </row>
    <row r="11" spans="1:7">
      <c r="A11" s="102" t="s">
        <v>156</v>
      </c>
      <c r="B11" s="102" t="s">
        <v>158</v>
      </c>
      <c r="C11" s="110"/>
      <c r="D11" s="102"/>
      <c r="E11" s="100"/>
      <c r="F11" s="102"/>
    </row>
    <row r="12" spans="1:7" ht="34">
      <c r="A12" s="102" t="s">
        <v>157</v>
      </c>
      <c r="B12" s="111" t="s">
        <v>193</v>
      </c>
      <c r="C12" s="110"/>
      <c r="D12" s="102"/>
      <c r="E12" s="100"/>
      <c r="F12" s="102"/>
      <c r="G12" s="91"/>
    </row>
    <row r="13" spans="1:7" ht="34">
      <c r="A13" s="102" t="s">
        <v>159</v>
      </c>
      <c r="B13" s="111" t="s">
        <v>194</v>
      </c>
      <c r="C13" s="110"/>
      <c r="D13" s="102"/>
      <c r="E13" s="100"/>
      <c r="F13" s="102"/>
    </row>
    <row r="14" spans="1:7">
      <c r="A14" s="102" t="s">
        <v>160</v>
      </c>
      <c r="B14" s="102" t="s">
        <v>243</v>
      </c>
      <c r="C14" s="110"/>
      <c r="D14" s="102"/>
      <c r="E14" s="100"/>
      <c r="F14" s="102"/>
    </row>
    <row r="15" spans="1:7">
      <c r="A15" s="102" t="s">
        <v>161</v>
      </c>
      <c r="B15" s="102" t="s">
        <v>162</v>
      </c>
      <c r="C15" s="110"/>
      <c r="D15" s="102"/>
      <c r="E15" s="100"/>
      <c r="F15" s="102"/>
    </row>
    <row r="16" spans="1:7" ht="34">
      <c r="A16" s="102" t="s">
        <v>163</v>
      </c>
      <c r="B16" s="111" t="s">
        <v>165</v>
      </c>
      <c r="C16" s="110"/>
      <c r="D16" s="102"/>
      <c r="E16" s="100"/>
      <c r="F16" s="102"/>
    </row>
    <row r="17" spans="1:7" ht="34">
      <c r="A17" s="102" t="s">
        <v>129</v>
      </c>
      <c r="B17" s="111" t="s">
        <v>195</v>
      </c>
      <c r="C17" s="110" t="s">
        <v>72</v>
      </c>
      <c r="D17" s="102" t="s">
        <v>16</v>
      </c>
      <c r="E17" s="100"/>
      <c r="F17" s="102"/>
    </row>
    <row r="18" spans="1:7">
      <c r="B18" s="99"/>
      <c r="C18" s="93"/>
      <c r="E18" s="98"/>
    </row>
    <row r="19" spans="1:7" ht="17" thickBot="1">
      <c r="A19" s="170" t="s">
        <v>134</v>
      </c>
      <c r="B19" s="170"/>
      <c r="C19" s="170"/>
      <c r="D19" s="170"/>
      <c r="E19" s="170"/>
      <c r="F19" s="170"/>
    </row>
    <row r="20" spans="1:7" ht="17" thickBot="1">
      <c r="A20" s="117" t="s">
        <v>154</v>
      </c>
      <c r="B20" s="118" t="s">
        <v>191</v>
      </c>
      <c r="C20" s="118" t="s">
        <v>2</v>
      </c>
      <c r="D20" s="119" t="s">
        <v>3</v>
      </c>
      <c r="E20" s="118" t="s">
        <v>189</v>
      </c>
      <c r="F20" s="120" t="s">
        <v>190</v>
      </c>
    </row>
    <row r="21" spans="1:7" s="92" customFormat="1">
      <c r="A21" s="106" t="s">
        <v>142</v>
      </c>
      <c r="B21" s="106"/>
      <c r="C21" s="107" t="s">
        <v>80</v>
      </c>
      <c r="D21" s="106" t="s">
        <v>25</v>
      </c>
      <c r="E21" s="106"/>
      <c r="F21" s="106"/>
    </row>
    <row r="22" spans="1:7" s="92" customFormat="1">
      <c r="A22" s="103" t="s">
        <v>143</v>
      </c>
      <c r="B22" s="103"/>
      <c r="C22" s="104" t="s">
        <v>82</v>
      </c>
      <c r="D22" s="103" t="s">
        <v>27</v>
      </c>
      <c r="E22" s="103"/>
      <c r="F22" s="103"/>
    </row>
    <row r="23" spans="1:7" s="92" customFormat="1">
      <c r="A23" s="103" t="s">
        <v>144</v>
      </c>
      <c r="B23" s="103"/>
      <c r="C23" s="104" t="s">
        <v>83</v>
      </c>
      <c r="D23" s="103" t="s">
        <v>28</v>
      </c>
      <c r="E23" s="103"/>
      <c r="F23" s="103"/>
    </row>
    <row r="24" spans="1:7" s="92" customFormat="1">
      <c r="A24" s="103" t="s">
        <v>145</v>
      </c>
      <c r="B24" s="103"/>
      <c r="C24" s="104" t="s">
        <v>86</v>
      </c>
      <c r="D24" s="103" t="s">
        <v>31</v>
      </c>
      <c r="E24" s="103"/>
      <c r="F24" s="103"/>
    </row>
    <row r="25" spans="1:7" s="92" customFormat="1">
      <c r="A25" s="103" t="s">
        <v>141</v>
      </c>
      <c r="B25" s="103"/>
      <c r="C25" s="104" t="s">
        <v>79</v>
      </c>
      <c r="D25" s="103" t="s">
        <v>147</v>
      </c>
      <c r="E25" s="105"/>
      <c r="F25" s="103"/>
    </row>
    <row r="26" spans="1:7" s="92" customFormat="1">
      <c r="A26" s="103" t="s">
        <v>139</v>
      </c>
      <c r="B26" s="103"/>
      <c r="C26" s="104" t="s">
        <v>81</v>
      </c>
      <c r="D26" s="103" t="s">
        <v>26</v>
      </c>
      <c r="E26" s="105"/>
      <c r="F26" s="103"/>
    </row>
    <row r="27" spans="1:7" s="92" customFormat="1">
      <c r="A27" s="103" t="s">
        <v>140</v>
      </c>
      <c r="B27" s="103"/>
      <c r="C27" s="104" t="s">
        <v>84</v>
      </c>
      <c r="D27" s="103" t="s">
        <v>29</v>
      </c>
      <c r="E27" s="105"/>
      <c r="F27" s="103"/>
    </row>
    <row r="28" spans="1:7" s="92" customFormat="1">
      <c r="A28" s="103" t="s">
        <v>146</v>
      </c>
      <c r="B28" s="103"/>
      <c r="C28" s="104" t="s">
        <v>85</v>
      </c>
      <c r="D28" s="103" t="s">
        <v>30</v>
      </c>
      <c r="E28" s="105"/>
      <c r="F28" s="103"/>
    </row>
    <row r="29" spans="1:7">
      <c r="A29" s="96" t="s">
        <v>200</v>
      </c>
      <c r="B29" s="96"/>
      <c r="C29" s="115"/>
      <c r="D29" s="96"/>
      <c r="E29" s="96"/>
      <c r="F29" s="96"/>
    </row>
    <row r="30" spans="1:7">
      <c r="A30" s="102" t="s">
        <v>138</v>
      </c>
      <c r="B30" s="102" t="s">
        <v>205</v>
      </c>
      <c r="C30" s="110" t="s">
        <v>80</v>
      </c>
      <c r="D30" s="102" t="s">
        <v>25</v>
      </c>
      <c r="E30" s="102"/>
      <c r="F30" s="102"/>
    </row>
    <row r="31" spans="1:7">
      <c r="A31" s="102" t="s">
        <v>167</v>
      </c>
      <c r="B31" s="102" t="s">
        <v>196</v>
      </c>
      <c r="C31" s="112" t="s">
        <v>78</v>
      </c>
      <c r="D31" s="113" t="s">
        <v>23</v>
      </c>
      <c r="E31" s="102" t="s">
        <v>151</v>
      </c>
      <c r="F31" s="102" t="s">
        <v>152</v>
      </c>
      <c r="G31" s="94"/>
    </row>
    <row r="32" spans="1:7">
      <c r="A32" s="102" t="s">
        <v>155</v>
      </c>
      <c r="B32" s="102" t="s">
        <v>166</v>
      </c>
      <c r="C32" s="110" t="s">
        <v>72</v>
      </c>
      <c r="D32" s="102" t="s">
        <v>16</v>
      </c>
      <c r="E32" s="102"/>
      <c r="F32" s="102"/>
    </row>
    <row r="33" spans="1:6">
      <c r="A33" s="102" t="s">
        <v>184</v>
      </c>
      <c r="B33" s="102" t="s">
        <v>158</v>
      </c>
      <c r="C33" s="110" t="s">
        <v>72</v>
      </c>
      <c r="D33" s="102" t="s">
        <v>16</v>
      </c>
      <c r="E33" s="102"/>
      <c r="F33" s="102"/>
    </row>
    <row r="34" spans="1:6" ht="34">
      <c r="A34" s="102" t="s">
        <v>157</v>
      </c>
      <c r="B34" s="111" t="s">
        <v>193</v>
      </c>
      <c r="C34" s="110" t="s">
        <v>72</v>
      </c>
      <c r="D34" s="102" t="s">
        <v>16</v>
      </c>
      <c r="E34" s="102"/>
      <c r="F34" s="102"/>
    </row>
    <row r="35" spans="1:6">
      <c r="A35" s="102" t="s">
        <v>159</v>
      </c>
      <c r="B35" s="102" t="s">
        <v>169</v>
      </c>
      <c r="C35" s="110" t="s">
        <v>72</v>
      </c>
      <c r="D35" s="102" t="s">
        <v>16</v>
      </c>
      <c r="E35" s="102"/>
      <c r="F35" s="102"/>
    </row>
    <row r="36" spans="1:6">
      <c r="A36" s="102" t="s">
        <v>161</v>
      </c>
      <c r="B36" s="102" t="s">
        <v>162</v>
      </c>
      <c r="C36" s="110" t="s">
        <v>72</v>
      </c>
      <c r="D36" s="102" t="s">
        <v>16</v>
      </c>
      <c r="E36" s="102"/>
      <c r="F36" s="102"/>
    </row>
    <row r="37" spans="1:6" ht="34">
      <c r="A37" s="102" t="s">
        <v>163</v>
      </c>
      <c r="B37" s="111" t="s">
        <v>165</v>
      </c>
      <c r="C37" s="110" t="s">
        <v>72</v>
      </c>
      <c r="D37" s="102" t="s">
        <v>16</v>
      </c>
      <c r="E37" s="102"/>
      <c r="F37" s="102"/>
    </row>
    <row r="38" spans="1:6" ht="34">
      <c r="A38" s="102" t="s">
        <v>129</v>
      </c>
      <c r="B38" s="111" t="s">
        <v>195</v>
      </c>
      <c r="C38" s="110" t="s">
        <v>72</v>
      </c>
      <c r="D38" s="102" t="s">
        <v>16</v>
      </c>
      <c r="E38" s="102"/>
      <c r="F38" s="102"/>
    </row>
    <row r="39" spans="1:6">
      <c r="A39" s="102" t="s">
        <v>176</v>
      </c>
      <c r="B39" s="102" t="s">
        <v>178</v>
      </c>
      <c r="C39" s="102"/>
      <c r="D39" s="109"/>
      <c r="E39" s="102"/>
      <c r="F39" s="102"/>
    </row>
    <row r="40" spans="1:6">
      <c r="A40" s="102" t="s">
        <v>203</v>
      </c>
      <c r="B40" s="102" t="s">
        <v>202</v>
      </c>
      <c r="C40" s="102"/>
      <c r="D40" s="109"/>
      <c r="E40" s="102"/>
      <c r="F40" s="102"/>
    </row>
    <row r="41" spans="1:6">
      <c r="A41" s="102" t="s">
        <v>187</v>
      </c>
      <c r="B41" s="102" t="s">
        <v>183</v>
      </c>
      <c r="C41" s="102"/>
      <c r="D41" s="109"/>
      <c r="E41" s="102"/>
      <c r="F41" s="102"/>
    </row>
    <row r="42" spans="1:6">
      <c r="A42" s="96" t="s">
        <v>201</v>
      </c>
      <c r="B42" s="116"/>
      <c r="C42" s="115"/>
      <c r="D42" s="96"/>
      <c r="E42" s="96"/>
      <c r="F42" s="96"/>
    </row>
    <row r="43" spans="1:6">
      <c r="A43" s="102" t="s">
        <v>212</v>
      </c>
      <c r="B43" s="102" t="s">
        <v>213</v>
      </c>
      <c r="C43" s="110"/>
      <c r="D43" s="102"/>
      <c r="E43" s="102"/>
      <c r="F43" s="102"/>
    </row>
    <row r="44" spans="1:6">
      <c r="A44" s="102" t="s">
        <v>210</v>
      </c>
      <c r="B44" s="102" t="s">
        <v>199</v>
      </c>
      <c r="C44" s="110"/>
      <c r="D44" s="102"/>
      <c r="E44" s="102"/>
      <c r="F44" s="102"/>
    </row>
    <row r="45" spans="1:6">
      <c r="A45" s="102" t="s">
        <v>211</v>
      </c>
      <c r="B45" s="102" t="s">
        <v>171</v>
      </c>
      <c r="C45" s="102"/>
      <c r="D45" s="102"/>
      <c r="E45" s="102"/>
      <c r="F45" s="102"/>
    </row>
    <row r="46" spans="1:6">
      <c r="A46" s="96" t="s">
        <v>61</v>
      </c>
      <c r="B46" s="96"/>
      <c r="C46" s="96"/>
      <c r="D46" s="96"/>
      <c r="E46" s="96"/>
      <c r="F46" s="96"/>
    </row>
    <row r="47" spans="1:6">
      <c r="A47" s="102" t="s">
        <v>207</v>
      </c>
      <c r="B47" s="114" t="s">
        <v>206</v>
      </c>
      <c r="C47" s="102"/>
      <c r="D47" s="102"/>
      <c r="E47" s="102"/>
      <c r="F47" s="102"/>
    </row>
    <row r="48" spans="1:6" ht="34">
      <c r="A48" s="102" t="s">
        <v>192</v>
      </c>
      <c r="B48" s="111" t="s">
        <v>173</v>
      </c>
      <c r="C48" s="102"/>
      <c r="D48" s="109"/>
      <c r="E48" s="102"/>
      <c r="F48" s="102"/>
    </row>
    <row r="49" spans="1:6">
      <c r="A49" s="96" t="s">
        <v>204</v>
      </c>
      <c r="B49" s="96"/>
      <c r="C49" s="96"/>
      <c r="D49" s="97"/>
      <c r="E49" s="96"/>
      <c r="F49" s="96"/>
    </row>
    <row r="50" spans="1:6" ht="51">
      <c r="A50" s="111" t="s">
        <v>174</v>
      </c>
      <c r="B50" s="111" t="s">
        <v>175</v>
      </c>
      <c r="C50" s="102"/>
      <c r="D50" s="109"/>
      <c r="E50" s="102"/>
      <c r="F50" s="102"/>
    </row>
    <row r="51" spans="1:6" ht="34">
      <c r="A51" s="111" t="s">
        <v>181</v>
      </c>
      <c r="B51" s="111" t="s">
        <v>182</v>
      </c>
      <c r="C51" s="102"/>
      <c r="D51" s="109"/>
      <c r="E51" s="102"/>
      <c r="F51" s="102"/>
    </row>
    <row r="52" spans="1:6">
      <c r="A52" s="96" t="s">
        <v>209</v>
      </c>
      <c r="B52" s="96"/>
      <c r="C52" s="96"/>
      <c r="D52" s="96"/>
      <c r="E52" s="96"/>
      <c r="F52" s="96"/>
    </row>
    <row r="53" spans="1:6">
      <c r="A53" s="102" t="s">
        <v>229</v>
      </c>
      <c r="B53" s="102" t="s">
        <v>228</v>
      </c>
      <c r="C53" s="110"/>
      <c r="D53" s="102"/>
      <c r="E53" s="102"/>
      <c r="F53" s="102"/>
    </row>
    <row r="54" spans="1:6">
      <c r="A54" s="102" t="s">
        <v>230</v>
      </c>
      <c r="B54" s="102" t="s">
        <v>235</v>
      </c>
      <c r="C54" s="100"/>
      <c r="D54" s="101"/>
      <c r="E54" s="100"/>
      <c r="F54" s="100"/>
    </row>
    <row r="55" spans="1:6">
      <c r="A55" s="102" t="s">
        <v>231</v>
      </c>
      <c r="B55" s="102" t="s">
        <v>228</v>
      </c>
      <c r="C55" s="100"/>
      <c r="D55" s="101"/>
      <c r="E55" s="100"/>
      <c r="F55" s="100"/>
    </row>
    <row r="56" spans="1:6">
      <c r="A56" s="102" t="s">
        <v>233</v>
      </c>
      <c r="B56" s="102" t="s">
        <v>235</v>
      </c>
      <c r="C56" s="100"/>
      <c r="D56" s="101"/>
      <c r="E56" s="100"/>
      <c r="F56" s="100"/>
    </row>
    <row r="57" spans="1:6">
      <c r="A57" s="102" t="s">
        <v>232</v>
      </c>
      <c r="B57" s="102" t="s">
        <v>228</v>
      </c>
      <c r="C57" s="102"/>
      <c r="D57" s="102"/>
      <c r="E57" s="102"/>
      <c r="F57" s="102"/>
    </row>
    <row r="58" spans="1:6">
      <c r="A58" s="102" t="s">
        <v>234</v>
      </c>
      <c r="B58" s="102" t="s">
        <v>235</v>
      </c>
      <c r="C58" s="102"/>
      <c r="D58" s="102"/>
      <c r="E58" s="102"/>
      <c r="F58" s="102"/>
    </row>
    <row r="60" spans="1:6" ht="17" thickBot="1">
      <c r="A60" s="171" t="s">
        <v>137</v>
      </c>
      <c r="B60" s="171"/>
      <c r="C60" s="171"/>
      <c r="D60" s="171"/>
      <c r="E60" s="171"/>
      <c r="F60" s="171"/>
    </row>
    <row r="61" spans="1:6" ht="17" thickBot="1">
      <c r="A61" s="117" t="s">
        <v>154</v>
      </c>
      <c r="B61" s="118" t="s">
        <v>191</v>
      </c>
      <c r="C61" s="118" t="s">
        <v>2</v>
      </c>
      <c r="D61" s="119" t="s">
        <v>3</v>
      </c>
      <c r="E61" s="118" t="s">
        <v>189</v>
      </c>
      <c r="F61" s="120" t="s">
        <v>190</v>
      </c>
    </row>
    <row r="62" spans="1:6" s="92" customFormat="1">
      <c r="A62" s="103" t="s">
        <v>142</v>
      </c>
      <c r="B62" s="103"/>
      <c r="C62" s="104" t="s">
        <v>80</v>
      </c>
      <c r="D62" s="103" t="s">
        <v>25</v>
      </c>
      <c r="E62" s="103"/>
      <c r="F62" s="103"/>
    </row>
    <row r="63" spans="1:6" s="92" customFormat="1">
      <c r="A63" s="103" t="s">
        <v>143</v>
      </c>
      <c r="B63" s="103"/>
      <c r="C63" s="104" t="s">
        <v>82</v>
      </c>
      <c r="D63" s="103" t="s">
        <v>27</v>
      </c>
      <c r="E63" s="103"/>
      <c r="F63" s="103"/>
    </row>
    <row r="64" spans="1:6" s="92" customFormat="1">
      <c r="A64" s="103" t="s">
        <v>144</v>
      </c>
      <c r="B64" s="103"/>
      <c r="C64" s="104" t="s">
        <v>83</v>
      </c>
      <c r="D64" s="103" t="s">
        <v>28</v>
      </c>
      <c r="E64" s="103"/>
      <c r="F64" s="103"/>
    </row>
    <row r="65" spans="1:6" s="92" customFormat="1">
      <c r="A65" s="103" t="s">
        <v>145</v>
      </c>
      <c r="B65" s="103"/>
      <c r="C65" s="104" t="s">
        <v>86</v>
      </c>
      <c r="D65" s="103" t="s">
        <v>31</v>
      </c>
      <c r="E65" s="103"/>
      <c r="F65" s="103"/>
    </row>
    <row r="66" spans="1:6" s="92" customFormat="1">
      <c r="A66" s="103" t="s">
        <v>141</v>
      </c>
      <c r="B66" s="103"/>
      <c r="C66" s="104" t="s">
        <v>79</v>
      </c>
      <c r="D66" s="103" t="s">
        <v>147</v>
      </c>
      <c r="E66" s="105"/>
      <c r="F66" s="103"/>
    </row>
    <row r="67" spans="1:6" s="92" customFormat="1">
      <c r="A67" s="103" t="s">
        <v>139</v>
      </c>
      <c r="B67" s="103"/>
      <c r="C67" s="104" t="s">
        <v>81</v>
      </c>
      <c r="D67" s="103" t="s">
        <v>26</v>
      </c>
      <c r="E67" s="105"/>
      <c r="F67" s="103"/>
    </row>
    <row r="68" spans="1:6" s="92" customFormat="1">
      <c r="A68" s="103" t="s">
        <v>140</v>
      </c>
      <c r="B68" s="103"/>
      <c r="C68" s="104" t="s">
        <v>84</v>
      </c>
      <c r="D68" s="103" t="s">
        <v>29</v>
      </c>
      <c r="E68" s="105"/>
      <c r="F68" s="103"/>
    </row>
    <row r="69" spans="1:6" s="92" customFormat="1">
      <c r="A69" s="103" t="s">
        <v>146</v>
      </c>
      <c r="B69" s="103"/>
      <c r="C69" s="104" t="s">
        <v>85</v>
      </c>
      <c r="D69" s="103" t="s">
        <v>30</v>
      </c>
      <c r="E69" s="105"/>
      <c r="F69" s="103"/>
    </row>
    <row r="70" spans="1:6">
      <c r="A70" s="96" t="s">
        <v>200</v>
      </c>
      <c r="B70" s="96"/>
      <c r="C70" s="115"/>
      <c r="D70" s="96"/>
      <c r="E70" s="96"/>
      <c r="F70" s="96"/>
    </row>
    <row r="71" spans="1:6">
      <c r="A71" s="102" t="s">
        <v>138</v>
      </c>
      <c r="B71" s="102" t="s">
        <v>168</v>
      </c>
      <c r="C71" s="100"/>
      <c r="D71" s="101"/>
      <c r="E71" s="100"/>
      <c r="F71" s="100"/>
    </row>
    <row r="72" spans="1:6">
      <c r="A72" s="102" t="s">
        <v>167</v>
      </c>
      <c r="B72" s="102" t="s">
        <v>196</v>
      </c>
      <c r="C72" s="100"/>
      <c r="D72" s="101"/>
      <c r="E72" s="100"/>
      <c r="F72" s="100"/>
    </row>
    <row r="73" spans="1:6">
      <c r="A73" s="102" t="s">
        <v>155</v>
      </c>
      <c r="B73" s="102" t="s">
        <v>166</v>
      </c>
      <c r="C73" s="100"/>
      <c r="D73" s="101"/>
      <c r="E73" s="100"/>
      <c r="F73" s="100"/>
    </row>
    <row r="74" spans="1:6">
      <c r="A74" s="102" t="s">
        <v>184</v>
      </c>
      <c r="B74" s="102" t="s">
        <v>158</v>
      </c>
      <c r="C74" s="100"/>
      <c r="D74" s="101"/>
      <c r="E74" s="100"/>
      <c r="F74" s="100"/>
    </row>
    <row r="75" spans="1:6" ht="34">
      <c r="A75" s="102" t="s">
        <v>157</v>
      </c>
      <c r="B75" s="111" t="s">
        <v>193</v>
      </c>
      <c r="C75" s="100"/>
      <c r="D75" s="101"/>
      <c r="E75" s="100"/>
      <c r="F75" s="100"/>
    </row>
    <row r="76" spans="1:6" ht="34">
      <c r="A76" s="102" t="s">
        <v>159</v>
      </c>
      <c r="B76" s="111" t="s">
        <v>194</v>
      </c>
      <c r="C76" s="100"/>
      <c r="D76" s="101"/>
      <c r="E76" s="100"/>
      <c r="F76" s="100"/>
    </row>
    <row r="77" spans="1:6">
      <c r="A77" s="102" t="s">
        <v>161</v>
      </c>
      <c r="B77" s="102" t="s">
        <v>162</v>
      </c>
      <c r="C77" s="100"/>
      <c r="D77" s="101"/>
      <c r="E77" s="100"/>
      <c r="F77" s="100"/>
    </row>
    <row r="78" spans="1:6" ht="34">
      <c r="A78" s="102" t="s">
        <v>163</v>
      </c>
      <c r="B78" s="111" t="s">
        <v>165</v>
      </c>
      <c r="C78" s="100"/>
      <c r="D78" s="101"/>
      <c r="E78" s="100"/>
      <c r="F78" s="100"/>
    </row>
    <row r="79" spans="1:6" ht="34">
      <c r="A79" s="102" t="s">
        <v>129</v>
      </c>
      <c r="B79" s="111" t="s">
        <v>195</v>
      </c>
      <c r="C79" s="100"/>
      <c r="D79" s="101"/>
      <c r="E79" s="100"/>
      <c r="F79" s="100"/>
    </row>
    <row r="80" spans="1:6">
      <c r="A80" s="102" t="s">
        <v>217</v>
      </c>
      <c r="B80" s="102" t="s">
        <v>177</v>
      </c>
      <c r="C80" s="102"/>
      <c r="D80" s="109"/>
      <c r="E80" s="102"/>
      <c r="F80" s="102"/>
    </row>
    <row r="81" spans="1:6">
      <c r="A81" s="102" t="s">
        <v>216</v>
      </c>
      <c r="B81" s="102" t="s">
        <v>170</v>
      </c>
      <c r="C81" s="102"/>
      <c r="D81" s="109"/>
      <c r="E81" s="102"/>
      <c r="F81" s="102"/>
    </row>
    <row r="82" spans="1:6">
      <c r="A82" s="96" t="s">
        <v>201</v>
      </c>
      <c r="B82" s="116"/>
      <c r="C82" s="115"/>
      <c r="D82" s="96"/>
      <c r="E82" s="96"/>
      <c r="F82" s="96"/>
    </row>
    <row r="83" spans="1:6">
      <c r="A83" s="102" t="s">
        <v>212</v>
      </c>
      <c r="B83" s="102" t="s">
        <v>213</v>
      </c>
      <c r="C83" s="100"/>
      <c r="D83" s="101"/>
      <c r="E83" s="100"/>
      <c r="F83" s="100"/>
    </row>
    <row r="84" spans="1:6">
      <c r="A84" s="102" t="s">
        <v>210</v>
      </c>
      <c r="B84" s="102" t="s">
        <v>199</v>
      </c>
      <c r="C84" s="110"/>
      <c r="D84" s="102"/>
      <c r="E84" s="102"/>
      <c r="F84" s="102"/>
    </row>
    <row r="85" spans="1:6">
      <c r="A85" s="102" t="s">
        <v>214</v>
      </c>
      <c r="B85" s="102" t="s">
        <v>171</v>
      </c>
      <c r="C85" s="100"/>
      <c r="D85" s="101"/>
      <c r="E85" s="100"/>
      <c r="F85" s="100"/>
    </row>
    <row r="86" spans="1:6" ht="34">
      <c r="A86" s="102" t="s">
        <v>149</v>
      </c>
      <c r="B86" s="111" t="s">
        <v>219</v>
      </c>
      <c r="C86" s="102"/>
      <c r="D86" s="109"/>
      <c r="E86" s="102"/>
      <c r="F86" s="102"/>
    </row>
    <row r="87" spans="1:6">
      <c r="A87" s="102" t="s">
        <v>148</v>
      </c>
      <c r="B87" s="102" t="s">
        <v>172</v>
      </c>
      <c r="C87" s="102"/>
      <c r="D87" s="109"/>
      <c r="E87" s="102"/>
      <c r="F87" s="102"/>
    </row>
    <row r="88" spans="1:6">
      <c r="A88" s="102" t="s">
        <v>179</v>
      </c>
      <c r="B88" s="102" t="s">
        <v>171</v>
      </c>
      <c r="C88" s="102"/>
      <c r="D88" s="102"/>
      <c r="E88" s="102"/>
      <c r="F88" s="102"/>
    </row>
    <row r="89" spans="1:6">
      <c r="A89" s="102" t="s">
        <v>215</v>
      </c>
      <c r="B89" s="102"/>
      <c r="C89" s="102"/>
      <c r="D89" s="109"/>
      <c r="E89" s="102"/>
      <c r="F89" s="102"/>
    </row>
    <row r="90" spans="1:6">
      <c r="A90" s="96" t="s">
        <v>220</v>
      </c>
      <c r="B90" s="96"/>
      <c r="C90" s="96"/>
      <c r="D90" s="96"/>
      <c r="E90" s="96"/>
      <c r="F90" s="96"/>
    </row>
    <row r="91" spans="1:6">
      <c r="A91" s="102" t="s">
        <v>221</v>
      </c>
      <c r="B91" s="102" t="s">
        <v>164</v>
      </c>
      <c r="C91" s="110"/>
      <c r="D91" s="102"/>
      <c r="E91" s="102"/>
      <c r="F91" s="102"/>
    </row>
    <row r="92" spans="1:6">
      <c r="A92" s="102" t="s">
        <v>222</v>
      </c>
      <c r="B92" s="102" t="s">
        <v>198</v>
      </c>
      <c r="C92" s="102"/>
      <c r="D92" s="102"/>
      <c r="E92" s="102"/>
      <c r="F92" s="102"/>
    </row>
    <row r="93" spans="1:6">
      <c r="A93" s="102" t="s">
        <v>223</v>
      </c>
      <c r="B93" s="102" t="s">
        <v>197</v>
      </c>
      <c r="C93" s="102"/>
      <c r="D93" s="102"/>
      <c r="E93" s="102"/>
      <c r="F93" s="102"/>
    </row>
    <row r="94" spans="1:6">
      <c r="A94" s="102" t="s">
        <v>210</v>
      </c>
      <c r="B94" s="102" t="s">
        <v>199</v>
      </c>
      <c r="C94" s="110"/>
      <c r="D94" s="102"/>
      <c r="E94" s="102"/>
      <c r="F94" s="102"/>
    </row>
    <row r="95" spans="1:6">
      <c r="A95" s="102" t="s">
        <v>225</v>
      </c>
      <c r="B95" s="102"/>
      <c r="C95" s="110"/>
      <c r="D95" s="102"/>
      <c r="E95" s="102"/>
      <c r="F95" s="102"/>
    </row>
    <row r="96" spans="1:6">
      <c r="A96" s="102" t="s">
        <v>224</v>
      </c>
      <c r="B96" s="111"/>
      <c r="C96" s="102"/>
      <c r="D96" s="109"/>
      <c r="E96" s="102"/>
      <c r="F96" s="102"/>
    </row>
    <row r="97" spans="1:6">
      <c r="A97" s="96" t="s">
        <v>61</v>
      </c>
      <c r="B97" s="96"/>
      <c r="C97" s="96"/>
      <c r="D97" s="96"/>
      <c r="E97" s="96"/>
      <c r="F97" s="96"/>
    </row>
    <row r="98" spans="1:6">
      <c r="A98" s="102" t="s">
        <v>226</v>
      </c>
      <c r="B98" s="114" t="s">
        <v>236</v>
      </c>
      <c r="C98" s="102"/>
      <c r="D98" s="102"/>
      <c r="E98" s="102"/>
      <c r="F98" s="102"/>
    </row>
    <row r="99" spans="1:6">
      <c r="A99" s="102" t="s">
        <v>227</v>
      </c>
      <c r="B99" s="102"/>
      <c r="C99" s="102"/>
      <c r="D99" s="102"/>
      <c r="E99" s="102"/>
      <c r="F99" s="102"/>
    </row>
    <row r="100" spans="1:6">
      <c r="A100" s="96" t="s">
        <v>209</v>
      </c>
      <c r="B100" s="96"/>
      <c r="C100" s="96"/>
      <c r="D100" s="96"/>
      <c r="E100" s="96"/>
      <c r="F100" s="96"/>
    </row>
    <row r="101" spans="1:6">
      <c r="A101" s="102" t="s">
        <v>218</v>
      </c>
      <c r="B101" s="102"/>
      <c r="C101" s="102"/>
      <c r="D101" s="102"/>
      <c r="E101" s="102"/>
      <c r="F101" s="102"/>
    </row>
    <row r="102" spans="1:6">
      <c r="A102" s="102" t="s">
        <v>229</v>
      </c>
      <c r="B102" s="102" t="s">
        <v>228</v>
      </c>
      <c r="C102" s="110"/>
      <c r="D102" s="102"/>
      <c r="E102" s="102"/>
      <c r="F102" s="102"/>
    </row>
    <row r="103" spans="1:6">
      <c r="A103" s="102" t="s">
        <v>248</v>
      </c>
      <c r="B103" s="102" t="s">
        <v>245</v>
      </c>
      <c r="C103" s="100"/>
      <c r="D103" s="101"/>
      <c r="E103" s="100"/>
      <c r="F103" s="100"/>
    </row>
    <row r="104" spans="1:6">
      <c r="A104" s="102" t="s">
        <v>231</v>
      </c>
      <c r="B104" s="102" t="s">
        <v>228</v>
      </c>
      <c r="C104" s="100"/>
      <c r="D104" s="101"/>
      <c r="E104" s="100"/>
      <c r="F104" s="100"/>
    </row>
    <row r="105" spans="1:6">
      <c r="A105" s="102" t="s">
        <v>246</v>
      </c>
      <c r="B105" s="102" t="s">
        <v>245</v>
      </c>
      <c r="C105" s="100"/>
      <c r="D105" s="101"/>
      <c r="E105" s="100"/>
      <c r="F105" s="100"/>
    </row>
    <row r="106" spans="1:6">
      <c r="A106" s="102" t="s">
        <v>232</v>
      </c>
      <c r="B106" s="102" t="s">
        <v>228</v>
      </c>
      <c r="C106" s="102"/>
      <c r="D106" s="102"/>
      <c r="E106" s="102"/>
      <c r="F106" s="102"/>
    </row>
    <row r="107" spans="1:6">
      <c r="A107" s="102" t="s">
        <v>247</v>
      </c>
      <c r="B107" s="102" t="s">
        <v>245</v>
      </c>
      <c r="C107" s="102"/>
      <c r="D107" s="102"/>
      <c r="E107" s="102"/>
      <c r="F107" s="102"/>
    </row>
    <row r="108" spans="1:6">
      <c r="A108" s="96" t="s">
        <v>238</v>
      </c>
      <c r="B108" s="96"/>
      <c r="C108" s="96"/>
      <c r="D108" s="96"/>
      <c r="E108" s="96"/>
      <c r="F108" s="96"/>
    </row>
    <row r="109" spans="1:6">
      <c r="A109" s="102" t="s">
        <v>221</v>
      </c>
      <c r="B109" s="102" t="s">
        <v>164</v>
      </c>
      <c r="C109" s="110"/>
      <c r="D109" s="102"/>
      <c r="E109" s="102"/>
      <c r="F109" s="102"/>
    </row>
    <row r="110" spans="1:6">
      <c r="A110" s="100" t="s">
        <v>240</v>
      </c>
      <c r="B110" s="102"/>
      <c r="C110" s="110"/>
      <c r="D110" s="102"/>
      <c r="E110" s="102"/>
      <c r="F110" s="102"/>
    </row>
    <row r="111" spans="1:6">
      <c r="A111" s="102" t="s">
        <v>239</v>
      </c>
      <c r="B111" s="102" t="s">
        <v>198</v>
      </c>
      <c r="C111" s="102"/>
      <c r="D111" s="102"/>
      <c r="E111" s="102"/>
      <c r="F111" s="102"/>
    </row>
    <row r="112" spans="1:6">
      <c r="A112" s="102" t="s">
        <v>223</v>
      </c>
      <c r="B112" s="102" t="s">
        <v>197</v>
      </c>
      <c r="C112" s="102"/>
      <c r="D112" s="102"/>
      <c r="E112" s="102"/>
      <c r="F112" s="102"/>
    </row>
    <row r="113" spans="1:6">
      <c r="A113" s="102" t="s">
        <v>210</v>
      </c>
      <c r="B113" s="102" t="s">
        <v>199</v>
      </c>
      <c r="C113" s="110"/>
      <c r="D113" s="102"/>
      <c r="E113" s="102"/>
      <c r="F113" s="102"/>
    </row>
    <row r="114" spans="1:6">
      <c r="A114" s="102" t="s">
        <v>225</v>
      </c>
      <c r="B114" s="102"/>
      <c r="C114" s="110"/>
      <c r="D114" s="102"/>
      <c r="E114" s="102"/>
      <c r="F114" s="102"/>
    </row>
    <row r="115" spans="1:6">
      <c r="A115" s="102" t="s">
        <v>224</v>
      </c>
      <c r="B115" s="111"/>
      <c r="C115" s="102"/>
      <c r="D115" s="109"/>
      <c r="E115" s="102"/>
      <c r="F115" s="102"/>
    </row>
    <row r="116" spans="1:6">
      <c r="A116" s="100" t="s">
        <v>241</v>
      </c>
      <c r="B116" s="111"/>
      <c r="C116" s="102"/>
      <c r="D116" s="109"/>
      <c r="E116" s="102"/>
      <c r="F116" s="102"/>
    </row>
    <row r="117" spans="1:6">
      <c r="A117" s="102" t="s">
        <v>239</v>
      </c>
      <c r="B117" s="102" t="s">
        <v>198</v>
      </c>
      <c r="C117" s="102"/>
      <c r="D117" s="102"/>
      <c r="E117" s="102"/>
      <c r="F117" s="102"/>
    </row>
    <row r="118" spans="1:6">
      <c r="A118" s="102" t="s">
        <v>223</v>
      </c>
      <c r="B118" s="102" t="s">
        <v>197</v>
      </c>
      <c r="C118" s="102"/>
      <c r="D118" s="102"/>
      <c r="E118" s="102"/>
      <c r="F118" s="102"/>
    </row>
    <row r="119" spans="1:6">
      <c r="A119" s="102" t="s">
        <v>210</v>
      </c>
      <c r="B119" s="102" t="s">
        <v>199</v>
      </c>
      <c r="C119" s="110"/>
      <c r="D119" s="102"/>
      <c r="E119" s="102"/>
      <c r="F119" s="102"/>
    </row>
    <row r="120" spans="1:6">
      <c r="A120" s="102" t="s">
        <v>225</v>
      </c>
      <c r="B120" s="102"/>
      <c r="C120" s="110"/>
      <c r="D120" s="102"/>
      <c r="E120" s="102"/>
      <c r="F120" s="102"/>
    </row>
    <row r="121" spans="1:6">
      <c r="A121" s="102" t="s">
        <v>224</v>
      </c>
      <c r="B121" s="111"/>
      <c r="C121" s="102"/>
      <c r="D121" s="109"/>
      <c r="E121" s="102"/>
      <c r="F121" s="102"/>
    </row>
    <row r="122" spans="1:6">
      <c r="A122" s="100" t="s">
        <v>242</v>
      </c>
      <c r="B122" s="111"/>
      <c r="C122" s="102"/>
      <c r="D122" s="109"/>
      <c r="E122" s="102"/>
      <c r="F122" s="102"/>
    </row>
    <row r="123" spans="1:6">
      <c r="A123" s="102" t="s">
        <v>239</v>
      </c>
      <c r="B123" s="102" t="s">
        <v>198</v>
      </c>
      <c r="C123" s="102"/>
      <c r="D123" s="102"/>
      <c r="E123" s="102"/>
      <c r="F123" s="102"/>
    </row>
    <row r="124" spans="1:6">
      <c r="A124" s="102" t="s">
        <v>223</v>
      </c>
      <c r="B124" s="102" t="s">
        <v>197</v>
      </c>
      <c r="C124" s="102"/>
      <c r="D124" s="102"/>
      <c r="E124" s="102"/>
      <c r="F124" s="102"/>
    </row>
    <row r="125" spans="1:6">
      <c r="A125" s="102" t="s">
        <v>210</v>
      </c>
      <c r="B125" s="102" t="s">
        <v>199</v>
      </c>
      <c r="C125" s="110"/>
      <c r="D125" s="102"/>
      <c r="E125" s="102"/>
      <c r="F125" s="102"/>
    </row>
    <row r="126" spans="1:6">
      <c r="A126" s="102" t="s">
        <v>225</v>
      </c>
      <c r="B126" s="102"/>
      <c r="C126" s="110"/>
      <c r="D126" s="102"/>
      <c r="E126" s="102"/>
      <c r="F126" s="102"/>
    </row>
    <row r="127" spans="1:6">
      <c r="A127" s="102" t="s">
        <v>224</v>
      </c>
      <c r="B127" s="111"/>
      <c r="C127" s="102"/>
      <c r="D127" s="109"/>
      <c r="E127" s="102"/>
      <c r="F127" s="102"/>
    </row>
    <row r="128" spans="1:6">
      <c r="B128" s="99"/>
      <c r="D128" s="95"/>
    </row>
    <row r="129" spans="1:8">
      <c r="A129" s="172" t="s">
        <v>135</v>
      </c>
      <c r="B129" s="172"/>
      <c r="C129" s="172"/>
      <c r="D129" s="172"/>
      <c r="E129" s="172"/>
      <c r="F129" s="172"/>
    </row>
    <row r="130" spans="1:8">
      <c r="A130" s="90" t="s">
        <v>131</v>
      </c>
    </row>
    <row r="131" spans="1:8">
      <c r="A131" s="90" t="s">
        <v>132</v>
      </c>
    </row>
    <row r="132" spans="1:8">
      <c r="A132" s="90" t="s">
        <v>133</v>
      </c>
    </row>
    <row r="133" spans="1:8">
      <c r="A133" s="90" t="s">
        <v>130</v>
      </c>
    </row>
    <row r="134" spans="1:8">
      <c r="A134" s="90" t="s">
        <v>126</v>
      </c>
    </row>
    <row r="135" spans="1:8">
      <c r="A135" s="90" t="s">
        <v>127</v>
      </c>
    </row>
    <row r="136" spans="1:8">
      <c r="A136" s="90" t="s">
        <v>128</v>
      </c>
      <c r="H136" s="90" t="s">
        <v>249</v>
      </c>
    </row>
    <row r="137" spans="1:8">
      <c r="A137" s="90" t="s">
        <v>160</v>
      </c>
      <c r="B137" s="90" t="s">
        <v>164</v>
      </c>
      <c r="C137" s="93"/>
      <c r="H137" s="90" t="s">
        <v>250</v>
      </c>
    </row>
    <row r="138" spans="1:8">
      <c r="A138" s="90" t="s">
        <v>237</v>
      </c>
      <c r="B138" s="90" t="s">
        <v>180</v>
      </c>
    </row>
    <row r="139" spans="1:8">
      <c r="A139" s="90" t="s">
        <v>185</v>
      </c>
      <c r="B139" s="90" t="s">
        <v>186</v>
      </c>
    </row>
    <row r="140" spans="1:8">
      <c r="A140" s="90" t="s">
        <v>244</v>
      </c>
    </row>
    <row r="162" spans="1:5">
      <c r="A162" s="173" t="s">
        <v>188</v>
      </c>
      <c r="B162" s="173"/>
      <c r="C162" s="173"/>
      <c r="D162" s="173"/>
      <c r="E162" s="173"/>
    </row>
    <row r="163" spans="1:5">
      <c r="A163" s="90" t="s">
        <v>136</v>
      </c>
    </row>
  </sheetData>
  <mergeCells count="5">
    <mergeCell ref="A1:F1"/>
    <mergeCell ref="A19:F19"/>
    <mergeCell ref="A60:F60"/>
    <mergeCell ref="A129:F129"/>
    <mergeCell ref="A162:E1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Besoins Humains</vt:lpstr>
      <vt:lpstr>Répartitions Missions IDC</vt:lpstr>
      <vt:lpstr>'Besoins Humains'!Impression_des_titres</vt:lpstr>
      <vt:lpstr>'Besoins Humains'!Zone_d_impression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Nicolas Maillols</cp:lastModifiedBy>
  <dcterms:created xsi:type="dcterms:W3CDTF">2020-01-13T09:54:32Z</dcterms:created>
  <dcterms:modified xsi:type="dcterms:W3CDTF">2026-05-17T20:46:12Z</dcterms:modified>
</cp:coreProperties>
</file>